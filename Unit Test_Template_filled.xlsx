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PT\SWT301\"/>
    </mc:Choice>
  </mc:AlternateContent>
  <xr:revisionPtr revIDLastSave="0" documentId="8_{D671B750-A1D7-457C-9B7E-A58DE42B288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uideline" sheetId="1" r:id="rId1"/>
    <sheet name="Cover" sheetId="4" r:id="rId2"/>
    <sheet name="Functions" sheetId="5" r:id="rId3"/>
    <sheet name="Statistics" sheetId="6" r:id="rId4"/>
    <sheet name="Function 1" sheetId="7" r:id="rId5"/>
    <sheet name="Function 2" sheetId="10" r:id="rId6"/>
    <sheet name="Function3" sheetId="11" r:id="rId7"/>
    <sheet name="Example" sheetId="12" r:id="rId8"/>
  </sheets>
  <definedNames>
    <definedName name="ACTION">#REF!</definedName>
    <definedName name="_xlnm.Print_Area" localSheetId="4">'Function 1'!$A$1:$T$53</definedName>
    <definedName name="_xlnm.Print_Area" localSheetId="5">'Function 2'!$A$1:$T$52</definedName>
    <definedName name="_xlnm.Print_Area" localSheetId="6">Function3!$A$1:$T$53</definedName>
    <definedName name="_xlnm.Print_Area" localSheetId="2">Functions!$A$1:$H$38</definedName>
    <definedName name="_xlnm.Print_Area" localSheetId="0">Guideline!$A$1:$A$48</definedName>
    <definedName name="_xlnm.Print_Area" localSheetId="3">Statistics!$A$1:$I$40</definedName>
    <definedName name="Z_2C0D9096_8D85_462A_A9B5_0B488ADB4269_.wvu.Cols" localSheetId="4" hidden="1">'Function 1'!$E:$E</definedName>
    <definedName name="Z_2C0D9096_8D85_462A_A9B5_0B488ADB4269_.wvu.Cols" localSheetId="5" hidden="1">'Function 2'!$E:$E</definedName>
    <definedName name="Z_2C0D9096_8D85_462A_A9B5_0B488ADB4269_.wvu.Cols" localSheetId="6" hidden="1">Function3!$E:$E</definedName>
    <definedName name="Z_2C0D9096_8D85_462A_A9B5_0B488ADB4269_.wvu.PrintArea" localSheetId="3" hidden="1">Statistics!$A:$I</definedName>
    <definedName name="Z_6F1DCD5D_5DAC_4817_BF40_2B66F6F593E6_.wvu.Cols" localSheetId="4" hidden="1">'Function 1'!$E:$E</definedName>
    <definedName name="Z_6F1DCD5D_5DAC_4817_BF40_2B66F6F593E6_.wvu.Cols" localSheetId="5" hidden="1">'Function 2'!$E:$E</definedName>
    <definedName name="Z_6F1DCD5D_5DAC_4817_BF40_2B66F6F593E6_.wvu.Cols" localSheetId="6" hidden="1">Function3!$E:$E</definedName>
    <definedName name="Z_6F1DCD5D_5DAC_4817_BF40_2B66F6F593E6_.wvu.PrintArea" localSheetId="3" hidden="1">Statistics!$A:$I</definedName>
    <definedName name="Z_BE54E0AD_3725_4423_92D7_4F1C045BE1BC_.wvu.Cols" localSheetId="4" hidden="1">'Function 1'!$E:$E</definedName>
    <definedName name="Z_BE54E0AD_3725_4423_92D7_4F1C045BE1BC_.wvu.Cols" localSheetId="5" hidden="1">'Function 2'!$E:$E</definedName>
    <definedName name="Z_BE54E0AD_3725_4423_92D7_4F1C045BE1BC_.wvu.Cols" localSheetId="6" hidden="1">Function3!$E:$E</definedName>
    <definedName name="Z_BE54E0AD_3725_4423_92D7_4F1C045BE1BC_.wvu.PrintArea" localSheetId="3" hidden="1">Statistics!$A:$I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1" l="1"/>
  <c r="M7" i="11"/>
  <c r="L7" i="11"/>
  <c r="N7" i="10"/>
  <c r="M7" i="10"/>
  <c r="L7" i="10"/>
  <c r="N7" i="7"/>
  <c r="M7" i="7"/>
  <c r="L7" i="7"/>
  <c r="C7" i="11"/>
  <c r="A7" i="11"/>
  <c r="F7" i="11"/>
  <c r="C7" i="10"/>
  <c r="A7" i="10"/>
  <c r="C7" i="7"/>
  <c r="A7" i="7"/>
  <c r="L2" i="11"/>
  <c r="C2" i="11"/>
  <c r="L2" i="10"/>
  <c r="C2" i="10"/>
  <c r="O7" i="12"/>
  <c r="L4" i="12" s="1"/>
  <c r="N7" i="12"/>
  <c r="M7" i="12"/>
  <c r="L7" i="12"/>
  <c r="A7" i="12"/>
  <c r="C7" i="12"/>
  <c r="L2" i="12"/>
  <c r="C2" i="12"/>
  <c r="O7" i="11"/>
  <c r="O7" i="7"/>
  <c r="O7" i="10"/>
  <c r="L4" i="10" s="1"/>
  <c r="E4" i="5"/>
  <c r="E5" i="5"/>
  <c r="B4" i="6"/>
  <c r="B5" i="6"/>
  <c r="L4" i="7"/>
  <c r="F7" i="7" l="1"/>
  <c r="F7" i="12"/>
  <c r="L4" i="11"/>
  <c r="F7" i="10"/>
  <c r="D22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00000000-0006-0000-0400-000002000000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
Not mandatory
</t>
        </r>
      </text>
    </comment>
    <comment ref="C10" authorId="1" shapeId="0" xr:uid="{00000000-0006-0000-0500-000002000000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00000000-0006-0000-0600-000001000000}">
      <text>
        <r>
          <rPr>
            <sz val="8"/>
            <color indexed="81"/>
            <rFont val="Tahoma"/>
            <family val="2"/>
          </rPr>
          <t xml:space="preserve">
Not mandatory
</t>
        </r>
      </text>
    </comment>
    <comment ref="C10" authorId="1" shapeId="0" xr:uid="{00000000-0006-0000-0600-000002000000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00000000-0006-0000-0700-000001000000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00000000-0006-0000-0700-000002000000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sharedStrings.xml><?xml version="1.0" encoding="utf-8"?>
<sst xmlns="http://schemas.openxmlformats.org/spreadsheetml/2006/main" count="657" uniqueCount="340">
  <si>
    <t>Project Name</t>
  </si>
  <si>
    <t>Creator</t>
  </si>
  <si>
    <t>Project Code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</si>
  <si>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</si>
  <si>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</si>
  <si>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</si>
  <si>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</si>
  <si>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</si>
  <si>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</si>
  <si>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</si>
  <si>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</si>
  <si>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</si>
  <si>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</si>
  <si>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Test Environment Setup Description</t>
  </si>
  <si>
    <t>No</t>
  </si>
  <si>
    <t>Requirement
Name</t>
  </si>
  <si>
    <t>Class Name</t>
  </si>
  <si>
    <t>Function Name</t>
  </si>
  <si>
    <t>Sheet Name</t>
  </si>
  <si>
    <t>Description</t>
  </si>
  <si>
    <t>Pre-Condition</t>
  </si>
  <si>
    <t>UNIT TEST REPORT</t>
  </si>
  <si>
    <t>Notes</t>
  </si>
  <si>
    <t>Passed</t>
  </si>
  <si>
    <t>Failed</t>
  </si>
  <si>
    <t>Untested</t>
  </si>
  <si>
    <t>Total Test Cases</t>
  </si>
  <si>
    <t>%</t>
  </si>
  <si>
    <t>Boundary case</t>
  </si>
  <si>
    <t>&lt;Developer Name&gt;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</si>
  <si>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</si>
  <si>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</si>
  <si>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</si>
  <si>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</si>
  <si>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</si>
  <si>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</si>
  <si>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</si>
  <si>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</si>
  <si>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</si>
  <si>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</si>
  <si>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</si>
  <si>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</si>
  <si>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</si>
  <si>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</si>
  <si>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UTCID15</t>
  </si>
  <si>
    <t>Can connect with server</t>
  </si>
  <si>
    <t>"1"</t>
  </si>
  <si>
    <t>""</t>
  </si>
  <si>
    <t>null</t>
  </si>
  <si>
    <t>&gt;=5 &amp; &lt;= 10</t>
  </si>
  <si>
    <t>"success"</t>
  </si>
  <si>
    <t>"input1 is null"</t>
  </si>
  <si>
    <t>Result</t>
  </si>
  <si>
    <t>Type(N : Normal, A : Abnormal, B : Boundary)</t>
  </si>
  <si>
    <t>N</t>
  </si>
  <si>
    <t>B</t>
  </si>
  <si>
    <t>A</t>
  </si>
  <si>
    <t>Passed/Failed</t>
  </si>
  <si>
    <t>P</t>
  </si>
  <si>
    <t>F</t>
  </si>
  <si>
    <t>Executed Date</t>
  </si>
  <si>
    <t>Defect ID</t>
  </si>
  <si>
    <t>DFID002</t>
  </si>
  <si>
    <t>DFID004</t>
  </si>
  <si>
    <t>DFID005</t>
  </si>
  <si>
    <t>DFID006</t>
  </si>
  <si>
    <t>DFID007</t>
  </si>
  <si>
    <t>DFID008</t>
  </si>
  <si>
    <t>DFID009</t>
  </si>
  <si>
    <t>DFID010</t>
  </si>
  <si>
    <t>DFID011</t>
  </si>
  <si>
    <t>DFID012</t>
  </si>
  <si>
    <t xml:space="preserve">Precondition </t>
    <phoneticPr fontId="30" type="noConversion"/>
  </si>
  <si>
    <t>Return</t>
    <phoneticPr fontId="30" type="noConversion"/>
  </si>
  <si>
    <t>Exception</t>
    <phoneticPr fontId="30" type="noConversion"/>
  </si>
  <si>
    <t>Log message</t>
    <phoneticPr fontId="30" type="noConversion"/>
  </si>
  <si>
    <t xml:space="preserve"> </t>
  </si>
  <si>
    <t xml:space="preserve">        - For examples:</t>
  </si>
  <si>
    <t xml:space="preserve">        - Confirmation can include:</t>
  </si>
  <si>
    <t xml:space="preserve">         </t>
  </si>
  <si>
    <t>2.1 Combination of test cases.</t>
  </si>
  <si>
    <t xml:space="preserve">Precondition </t>
    <phoneticPr fontId="30" type="noConversion"/>
  </si>
  <si>
    <t>Input1</t>
    <phoneticPr fontId="30" type="noConversion"/>
  </si>
  <si>
    <t>Input2</t>
    <phoneticPr fontId="30" type="noConversion"/>
  </si>
  <si>
    <t>Return</t>
    <phoneticPr fontId="30" type="noConversion"/>
  </si>
  <si>
    <t>Exception</t>
    <phoneticPr fontId="30" type="noConversion"/>
  </si>
  <si>
    <t>Log message</t>
    <phoneticPr fontId="30" type="noConversion"/>
  </si>
  <si>
    <t>&lt;Brief description about requirements which are tested in this function&gt;</t>
  </si>
  <si>
    <t>Function Code</t>
  </si>
  <si>
    <t>Created By</t>
  </si>
  <si>
    <t>Executed By</t>
  </si>
  <si>
    <t>Lines  of code</t>
  </si>
  <si>
    <t>Lack of test cases</t>
  </si>
  <si>
    <t>Test requirement</t>
  </si>
  <si>
    <t>N/A/B</t>
  </si>
  <si>
    <t>Condition</t>
  </si>
  <si>
    <t xml:space="preserve">Precondition </t>
  </si>
  <si>
    <t>Input1</t>
  </si>
  <si>
    <t>Input2</t>
  </si>
  <si>
    <t>Confirm</t>
  </si>
  <si>
    <t>Return</t>
  </si>
  <si>
    <t>Exception</t>
  </si>
  <si>
    <t>Log message</t>
  </si>
  <si>
    <t xml:space="preserve"> - In the template, Unit test cases are based on functions. Each sheet presents test cases for one function.</t>
  </si>
  <si>
    <t>2. Content in Test function sheet</t>
  </si>
  <si>
    <t>Guideline to make and understand Unit Test Case</t>
  </si>
  <si>
    <t xml:space="preserve">Normal number of Test cases/KLOC </t>
  </si>
  <si>
    <t xml:space="preserve"> 2.2 Condition and confirmation of Test cases.</t>
  </si>
  <si>
    <t xml:space="preserve"> Each test case is the combination of condition and confirmation.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</si>
  <si>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</si>
  <si>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</si>
  <si>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</si>
  <si>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</si>
  <si>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Abnormal values are non-expected values. And normally it processes exception cases.  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</si>
  <si>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</si>
  <si>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</si>
  <si>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</si>
  <si>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</si>
  <si>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 xml:space="preserve">        - Type of test case: It includes normal, boundary and abnormal test cases. User selects the type based on the type of input data.</t>
  </si>
  <si>
    <t xml:space="preserve"> 2.3. Other items:</t>
  </si>
  <si>
    <t>a</t>
    <phoneticPr fontId="30" type="noConversion"/>
  </si>
  <si>
    <t>b</t>
    <phoneticPr fontId="30" type="noConversion"/>
  </si>
  <si>
    <t>c</t>
    <phoneticPr fontId="40"/>
  </si>
  <si>
    <t xml:space="preserve">list </t>
    <phoneticPr fontId="40"/>
  </si>
  <si>
    <t>null</t>
    <phoneticPr fontId="40"/>
  </si>
  <si>
    <t>size = 0</t>
    <phoneticPr fontId="40"/>
  </si>
  <si>
    <t>O</t>
  </si>
  <si>
    <t>"please input a&gt;= -1"</t>
    <phoneticPr fontId="40"/>
  </si>
  <si>
    <t>{-1/2}</t>
    <phoneticPr fontId="40"/>
  </si>
  <si>
    <t>{1,1}</t>
    <phoneticPr fontId="40"/>
  </si>
  <si>
    <t>{1,-3}</t>
    <phoneticPr fontId="40"/>
  </si>
  <si>
    <t xml:space="preserve"> Function Code(Optional)</t>
  </si>
  <si>
    <t>1. Overview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</si>
  <si>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</si>
  <si>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</si>
  <si>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</si>
  <si>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</si>
  <si>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r>
      <t xml:space="preserve"> - </t>
    </r>
    <r>
      <rPr>
        <b/>
        <sz val="10"/>
        <rFont val="Tahoma"/>
        <family val="2"/>
      </rPr>
      <t>Cover</t>
    </r>
    <r>
      <rPr>
        <sz val="10"/>
        <rFont val="Tahoma"/>
        <family val="2"/>
      </rPr>
      <t>: General information of the project and Unit Test cases</t>
    </r>
  </si>
  <si>
    <r>
      <t xml:space="preserve">        - Test case result: the actual output results comparing with the Confirmation.
                 </t>
    </r>
    <r>
      <rPr>
        <b/>
        <sz val="10"/>
        <rFont val="Tahoma"/>
        <family val="2"/>
      </rPr>
      <t>P</t>
    </r>
    <r>
      <rPr>
        <sz val="10"/>
        <rFont val="Tahoma"/>
        <family val="2"/>
      </rPr>
      <t xml:space="preserve"> for Passed and </t>
    </r>
    <r>
      <rPr>
        <b/>
        <sz val="10"/>
        <rFont val="Tahoma"/>
        <family val="2"/>
      </rPr>
      <t>F</t>
    </r>
    <r>
      <rPr>
        <sz val="10"/>
        <rFont val="Tahoma"/>
        <family val="2"/>
      </rPr>
      <t xml:space="preserve"> for Failed cases.
          It can 'OK' or 'NG' (it depends on habit of the teams or customers)</t>
    </r>
  </si>
  <si>
    <r>
      <t xml:space="preserve"> - </t>
    </r>
    <r>
      <rPr>
        <b/>
        <sz val="10"/>
        <rFont val="Tahoma"/>
        <family val="2"/>
      </rPr>
      <t>Test Report</t>
    </r>
    <r>
      <rPr>
        <sz val="10"/>
        <rFont val="Tahoma"/>
        <family val="2"/>
      </rPr>
      <t>: provive the overview results of Functions Unit test: Test coverage, Test successful coverage 
    (Summary, for normal/abnormal/boundary cases)</t>
    </r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</si>
  <si>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</si>
  <si>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</si>
  <si>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</si>
  <si>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>a. Condition:</t>
  </si>
  <si>
    <t xml:space="preserve">b. Confirmation: </t>
  </si>
  <si>
    <t>c. Type of test cases and result: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</si>
  <si>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</si>
  <si>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</si>
  <si>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</si>
  <si>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</si>
  <si>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</si>
  <si>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</si>
  <si>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r>
      <t xml:space="preserve"> - </t>
    </r>
    <r>
      <rPr>
        <b/>
        <sz val="10"/>
        <rFont val="Tahoma"/>
        <family val="2"/>
      </rPr>
      <t>FunctionList</t>
    </r>
    <r>
      <rPr>
        <sz val="10"/>
        <rFont val="Tahoma"/>
        <family val="2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</si>
  <si>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t xml:space="preserve">     Note:  Should check the formula of "Sub Total" if you add more functions</t>
  </si>
  <si>
    <t>Function code</t>
  </si>
  <si>
    <r>
      <t xml:space="preserve">     + Click on Function link to open the related Test cases of the function.  
     </t>
    </r>
    <r>
      <rPr>
        <i/>
        <sz val="10"/>
        <rFont val="Tahoma"/>
        <family val="2"/>
      </rPr>
      <t>Note:</t>
    </r>
    <r>
      <rPr>
        <sz val="10"/>
        <rFont val="Tahoma"/>
        <family val="2"/>
      </rPr>
      <t xml:space="preserve"> You should create new Function sheet before creating the link</t>
    </r>
  </si>
  <si>
    <t xml:space="preserve">                . Boundary values are limited values that contain upper and lower values.</t>
  </si>
  <si>
    <t>Date</t>
  </si>
  <si>
    <t>Month</t>
  </si>
  <si>
    <t>Year</t>
  </si>
  <si>
    <t>T</t>
  </si>
  <si>
    <t>Function List</t>
  </si>
  <si>
    <t>UNIT TEST DOCUMENT</t>
  </si>
  <si>
    <t>QuynhTNN4</t>
  </si>
  <si>
    <t>Parking Building Management System</t>
  </si>
  <si>
    <t>PBMS2026</t>
  </si>
  <si>
    <t>PBMS_UTD_v1.0</t>
  </si>
  <si>
    <t>26/05/2026</t>
  </si>
  <si>
    <t>Initial Unit Test Document</t>
  </si>
  <si>
    <t>Created Unit Test Document template for Parking Building Management System project</t>
  </si>
  <si>
    <t>Software Requirement Specification (SRS) v1.0</t>
  </si>
  <si>
    <t>Authentication Module</t>
  </si>
  <si>
    <t>Added Unit Test Cases for Login, Logout, Forgot Password, and Role Authorization functions</t>
  </si>
  <si>
    <t>SRS v1.1, Use Case Document</t>
  </si>
  <si>
    <t>Parking Slot Management</t>
  </si>
  <si>
    <t>Added Unit Test Cases for Slot Creation, Slot Assignment, Slot Availability Validation</t>
  </si>
  <si>
    <t>Database Design Document</t>
  </si>
  <si>
    <t>Vehicle Management Module</t>
  </si>
  <si>
    <t>Added Unit Test Cases for Vehicle Registration, License Plate Validation, and Vehicle Type Classification</t>
  </si>
  <si>
    <t>Functional Specification v1.2</t>
  </si>
  <si>
    <t>Billing &amp; Payment Module</t>
  </si>
  <si>
    <t>Added Unit Test Cases for Parking Fee Calculation, Peak Hour Pricing, and Payment Confirmation</t>
  </si>
  <si>
    <t>Business Rule Document</t>
  </si>
  <si>
    <t>Notification System</t>
  </si>
  <si>
    <t>Added Unit Test Cases for Email Notification and Subscription Reminder services</t>
  </si>
  <si>
    <t>API Integration Document</t>
  </si>
  <si>
    <t>15/05/2026</t>
  </si>
  <si>
    <t>Security Validation</t>
  </si>
  <si>
    <t>M</t>
  </si>
  <si>
    <t>Updated Unit Test Cases for SQL Injection Prevention and Input Validation</t>
  </si>
  <si>
    <t>Security Requirement Document</t>
  </si>
  <si>
    <t>18/05/2026</t>
  </si>
  <si>
    <t>Defect Fix Validation</t>
  </si>
  <si>
    <t>Updated test results and fixed failed Unit Test Cases from previous review</t>
  </si>
  <si>
    <t>Bug Tracking Report</t>
  </si>
  <si>
    <t>20/05/2026</t>
  </si>
  <si>
    <t>Test Coverage Update</t>
  </si>
  <si>
    <t>Updated Unit Test coverage statistics and boundary/abnormal cases</t>
  </si>
  <si>
    <t>Unit Test Report</t>
  </si>
  <si>
    <t>22/05/2026</t>
  </si>
  <si>
    <t>Final Release</t>
  </si>
  <si>
    <t>Final review and approval of Unit Test Document before deployment</t>
  </si>
  <si>
    <t>Release Management Document</t>
  </si>
  <si>
    <t>Windows 11 OS, Node.js v22, ReactJS Frontend, Supabase PostgreSQL Database, Visual Studio Code, Postman API Testing, Google Chrome Browser, Stable Internet Connection, GitHub Repository Access</t>
  </si>
  <si>
    <t>User Authentication</t>
  </si>
  <si>
    <t>AuthController</t>
  </si>
  <si>
    <t>login()</t>
  </si>
  <si>
    <t>FUNC_AUTH_001</t>
  </si>
  <si>
    <t>LoginFunction</t>
  </si>
  <si>
    <t>Validate user login with username and password</t>
  </si>
  <si>
    <t>User account exists in database</t>
  </si>
  <si>
    <t>logout()</t>
  </si>
  <si>
    <t>FUNC_AUTH_002</t>
  </si>
  <si>
    <t>LogoutFunction</t>
  </si>
  <si>
    <t>Validate logout and session termination</t>
  </si>
  <si>
    <t>User already logged into system</t>
  </si>
  <si>
    <t>Password Recovery</t>
  </si>
  <si>
    <t>AuthService</t>
  </si>
  <si>
    <t>forgotPassword()</t>
  </si>
  <si>
    <t>FUNC_AUTH_003</t>
  </si>
  <si>
    <t>ForgotPasswordFunction</t>
  </si>
  <si>
    <t>Validate password reset email process</t>
  </si>
  <si>
    <t>User email registered in system</t>
  </si>
  <si>
    <t>ParkingSlotService</t>
  </si>
  <si>
    <t>createParkingSlot()</t>
  </si>
  <si>
    <t>FUNC_SLOT_001</t>
  </si>
  <si>
    <t>CreateSlotFunction</t>
  </si>
  <si>
    <t>Create new parking slot information</t>
  </si>
  <si>
    <t>Admin account logged in</t>
  </si>
  <si>
    <t>updateSlotStatus()</t>
  </si>
  <si>
    <t>FUNC_SLOT_002</t>
  </si>
  <si>
    <t>UpdateSlotStatusFunction</t>
  </si>
  <si>
    <t>Update parking slot availability status</t>
  </si>
  <si>
    <t>Parking slot already exists</t>
  </si>
  <si>
    <t>Vehicle Registration</t>
  </si>
  <si>
    <t>VehicleController</t>
  </si>
  <si>
    <t>registerVehicle()</t>
  </si>
  <si>
    <t>FUNC_VEHICLE_001</t>
  </si>
  <si>
    <t>RegisterVehicleFunction</t>
  </si>
  <si>
    <t>Register customer vehicle into system</t>
  </si>
  <si>
    <t>Customer account available</t>
  </si>
  <si>
    <t>Vehicle Validation</t>
  </si>
  <si>
    <t>VehicleService</t>
  </si>
  <si>
    <t>validateLicensePlate()</t>
  </si>
  <si>
    <t>FUNC_VEHICLE_002</t>
  </si>
  <si>
    <t>ValidatePlateFunction</t>
  </si>
  <si>
    <t>Validate vehicle license plate format</t>
  </si>
  <si>
    <t>Vehicle input submitted</t>
  </si>
  <si>
    <t>Vehicle Check-in</t>
  </si>
  <si>
    <t>CheckInService</t>
  </si>
  <si>
    <t>vehicleCheckIn()</t>
  </si>
  <si>
    <t>FUNC_CHECKIN_001</t>
  </si>
  <si>
    <t>VehicleCheckInFunction</t>
  </si>
  <si>
    <t>Process vehicle check-in workflow</t>
  </si>
  <si>
    <t>Parking slot available</t>
  </si>
  <si>
    <t>Vehicle Check-out</t>
  </si>
  <si>
    <t>CheckOutService</t>
  </si>
  <si>
    <t>vehicleCheckOut()</t>
  </si>
  <si>
    <t>FUNC_CHECKOUT_001</t>
  </si>
  <si>
    <t>VehicleCheckOutFunction</t>
  </si>
  <si>
    <t>Process vehicle check-out workflow</t>
  </si>
  <si>
    <t>Vehicle currently checked in</t>
  </si>
  <si>
    <t>Billing Management</t>
  </si>
  <si>
    <t>BillingService</t>
  </si>
  <si>
    <t>calculateParkingFee()</t>
  </si>
  <si>
    <t>FUNC_BILL_001</t>
  </si>
  <si>
    <t>CalculateFeeFunction</t>
  </si>
  <si>
    <t>Calculate parking fee based on duration and pricing rules</t>
  </si>
  <si>
    <t>Vehicle checkout initiated</t>
  </si>
  <si>
    <t>applyPeakHourPricing()</t>
  </si>
  <si>
    <t>FUNC_BILL_002</t>
  </si>
  <si>
    <t>PeakHourPricingFunction</t>
  </si>
  <si>
    <t>Apply peak-hour pricing policy</t>
  </si>
  <si>
    <t>Peak-hour pricing configured</t>
  </si>
  <si>
    <t>Payment Processing</t>
  </si>
  <si>
    <t>PaymentService</t>
  </si>
  <si>
    <t>processPayment()</t>
  </si>
  <si>
    <t>FUNC_PAYMENT_001</t>
  </si>
  <si>
    <t>ProcessPaymentFunction</t>
  </si>
  <si>
    <t>Validate customer payment transaction</t>
  </si>
  <si>
    <t>Parking fee generated</t>
  </si>
  <si>
    <t>Dashboard Reporting</t>
  </si>
  <si>
    <t>DashboardService</t>
  </si>
  <si>
    <t>generateRevenueReport()</t>
  </si>
  <si>
    <t>FUNC_REPORT_001</t>
  </si>
  <si>
    <t>RevenueReportFunction</t>
  </si>
  <si>
    <t>Generate parking revenue statistics</t>
  </si>
  <si>
    <t>Transaction data available</t>
  </si>
  <si>
    <t>NotificationService</t>
  </si>
  <si>
    <t>sendEmailNotification()</t>
  </si>
  <si>
    <t>FUNC_NOTIFY_001</t>
  </si>
  <si>
    <t>EmailNotificationFunction</t>
  </si>
  <si>
    <t>Send email notification to customers</t>
  </si>
  <si>
    <t>Valid email address exists</t>
  </si>
  <si>
    <t>Subscription Management</t>
  </si>
  <si>
    <t>SubscriptionService</t>
  </si>
  <si>
    <t>renewMonthlyPackage()</t>
  </si>
  <si>
    <t>FUNC_SUB_001</t>
  </si>
  <si>
    <t>RenewSubscriptionFunction</t>
  </si>
  <si>
    <t>Renew monthly parking subscription</t>
  </si>
  <si>
    <t>Existing subscription available</t>
  </si>
  <si>
    <t>User Management</t>
  </si>
  <si>
    <t>UserService</t>
  </si>
  <si>
    <t>createStaffAccount()</t>
  </si>
  <si>
    <t>FUNC_USER_001</t>
  </si>
  <si>
    <t>CreateStaffFunction</t>
  </si>
  <si>
    <t>Create new staff management account</t>
  </si>
  <si>
    <t>Admin permission granted</t>
  </si>
  <si>
    <t>SecurityService</t>
  </si>
  <si>
    <t>validateSQLInjection()</t>
  </si>
  <si>
    <t>FUNC_SECURITY_001</t>
  </si>
  <si>
    <t>SQLInjectionValidationFunction</t>
  </si>
  <si>
    <t>Prevent SQL Injection attacks</t>
  </si>
  <si>
    <t>Login/API request submitted</t>
  </si>
  <si>
    <t>API Integration</t>
  </si>
  <si>
    <t>ApiService</t>
  </si>
  <si>
    <t>syncRealtimeData()</t>
  </si>
  <si>
    <t>FUNC_API_001</t>
  </si>
  <si>
    <t>RealtimeSyncFunction</t>
  </si>
  <si>
    <t>Synchronize real-time parking data</t>
  </si>
  <si>
    <t>Internet connection active</t>
  </si>
  <si>
    <t>System Monitoring</t>
  </si>
  <si>
    <t>MonitoringService</t>
  </si>
  <si>
    <t>trackSystemLogs()</t>
  </si>
  <si>
    <t>FUNC_MONITOR_001</t>
  </si>
  <si>
    <t>SystemLogFunction</t>
  </si>
  <si>
    <t>Monitor and store system activity logs</t>
  </si>
  <si>
    <t>Logging service enabled</t>
  </si>
  <si>
    <t>Access Control</t>
  </si>
  <si>
    <t>RoleService</t>
  </si>
  <si>
    <t>validateUserPermission()</t>
  </si>
  <si>
    <t>FUNC_ROLE_001</t>
  </si>
  <si>
    <t>UserPermissionFunction</t>
  </si>
  <si>
    <t>Validate role-based system permissions</t>
  </si>
  <si>
    <t>User authenticated</t>
  </si>
  <si>
    <t>PBMS2026_TestReport_v1.0</t>
  </si>
  <si>
    <t>Release 1 includes Authentication, Parking Slot Management, Vehicle Management, Billing, Payment, and Reporting modules</t>
  </si>
  <si>
    <t>QA Lead / Project Manager</t>
  </si>
  <si>
    <t>Validate login functionality including authentication, input validation, exception handling, and system response for Parking Building Management System</t>
  </si>
  <si>
    <t>QA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</si>
</sst>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5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ＭＳ ゴシック"/>
      <family val="3"/>
      <charset val="128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sz val="10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sz val="8"/>
      <name val="ＭＳ Ｐゴシック"/>
      <family val="3"/>
      <charset val="128"/>
    </font>
    <font>
      <sz val="8"/>
      <name val="Tahoma"/>
      <family val="2"/>
    </font>
    <font>
      <b/>
      <sz val="8"/>
      <name val="Tahoma"/>
      <family val="2"/>
    </font>
    <font>
      <sz val="8"/>
      <color indexed="17"/>
      <name val="Tahoma"/>
      <family val="2"/>
    </font>
    <font>
      <i/>
      <sz val="8"/>
      <name val="Tahoma"/>
      <family val="2"/>
    </font>
    <font>
      <b/>
      <sz val="12"/>
      <name val="Courier New"/>
      <family val="3"/>
    </font>
    <font>
      <b/>
      <sz val="8"/>
      <name val="Courier New"/>
      <family val="3"/>
    </font>
    <font>
      <sz val="8"/>
      <name val="Courier New"/>
      <family val="3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6"/>
      <name val="ＭＳ Ｐゴシック"/>
      <family val="3"/>
      <charset val="128"/>
    </font>
    <font>
      <i/>
      <sz val="10"/>
      <name val="Tahoma"/>
      <family val="2"/>
    </font>
    <font>
      <b/>
      <sz val="18"/>
      <name val="Tahoma"/>
      <family val="2"/>
    </font>
    <font>
      <b/>
      <sz val="11"/>
      <name val="Tahoma"/>
      <family val="2"/>
    </font>
    <font>
      <b/>
      <sz val="14"/>
      <name val="Tahoma"/>
      <family val="2"/>
    </font>
    <font>
      <sz val="10.5"/>
      <name val="Tahoma"/>
      <family val="2"/>
    </font>
    <font>
      <sz val="11"/>
      <name val="Tahoma"/>
      <family val="2"/>
    </font>
    <font>
      <b/>
      <sz val="12"/>
      <name val="Tahoma"/>
      <family val="2"/>
    </font>
    <font>
      <i/>
      <sz val="11"/>
      <name val="Tahoma"/>
      <family val="2"/>
    </font>
    <font>
      <b/>
      <sz val="8"/>
      <color indexed="9"/>
      <name val="Tahoma"/>
      <family val="2"/>
    </font>
    <font>
      <sz val="8"/>
      <color indexed="9"/>
      <name val="Tahoma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8"/>
        <bgColor indexed="64"/>
      </patternFill>
    </fill>
  </fills>
  <borders count="9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9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hair">
        <color indexed="8"/>
      </right>
      <top style="double">
        <color indexed="64"/>
      </top>
      <bottom style="medium">
        <color indexed="9"/>
      </bottom>
      <diagonal/>
    </border>
    <border>
      <left/>
      <right/>
      <top style="double">
        <color indexed="64"/>
      </top>
      <bottom style="medium">
        <color indexed="9"/>
      </bottom>
      <diagonal/>
    </border>
    <border>
      <left/>
      <right style="double">
        <color indexed="64"/>
      </right>
      <top style="double">
        <color indexed="64"/>
      </top>
      <bottom style="medium">
        <color indexed="9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</borders>
  <cellStyleXfs count="48">
    <xf numFmtId="0" fontId="0" fillId="0" borderId="0">
      <alignment vertical="center"/>
    </xf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/>
  </cellStyleXfs>
  <cellXfs count="368">
    <xf numFmtId="0" fontId="0" fillId="0" borderId="0" xfId="0">
      <alignment vertical="center"/>
    </xf>
    <xf numFmtId="0" fontId="21" fillId="0" borderId="10" xfId="40" applyFont="1" applyBorder="1" applyAlignment="1">
      <alignment horizontal="center" vertical="center"/>
    </xf>
    <xf numFmtId="0" fontId="23" fillId="0" borderId="0" xfId="40" applyFont="1" applyAlignment="1">
      <alignment horizontal="center" vertical="center"/>
    </xf>
    <xf numFmtId="0" fontId="23" fillId="0" borderId="0" xfId="40" applyFont="1"/>
    <xf numFmtId="0" fontId="24" fillId="24" borderId="0" xfId="40" applyFont="1" applyFill="1" applyAlignment="1">
      <alignment horizontal="left" indent="1"/>
    </xf>
    <xf numFmtId="0" fontId="25" fillId="0" borderId="0" xfId="40" applyFont="1" applyAlignment="1">
      <alignment horizontal="left" indent="1"/>
    </xf>
    <xf numFmtId="0" fontId="23" fillId="24" borderId="0" xfId="40" applyFont="1" applyFill="1"/>
    <xf numFmtId="0" fontId="23" fillId="0" borderId="11" xfId="40" applyFont="1" applyBorder="1"/>
    <xf numFmtId="0" fontId="25" fillId="0" borderId="0" xfId="40" applyFont="1" applyAlignment="1">
      <alignment horizontal="left"/>
    </xf>
    <xf numFmtId="0" fontId="24" fillId="0" borderId="0" xfId="40" applyFont="1" applyAlignment="1">
      <alignment horizontal="left" indent="1"/>
    </xf>
    <xf numFmtId="0" fontId="23" fillId="0" borderId="0" xfId="40" applyFont="1" applyAlignment="1">
      <alignment vertical="center"/>
    </xf>
    <xf numFmtId="164" fontId="26" fillId="25" borderId="12" xfId="40" applyNumberFormat="1" applyFont="1" applyFill="1" applyBorder="1" applyAlignment="1">
      <alignment horizontal="center" vertical="center"/>
    </xf>
    <xf numFmtId="0" fontId="26" fillId="25" borderId="13" xfId="40" applyFont="1" applyFill="1" applyBorder="1" applyAlignment="1">
      <alignment horizontal="center" vertical="center"/>
    </xf>
    <xf numFmtId="0" fontId="26" fillId="25" borderId="14" xfId="40" applyFont="1" applyFill="1" applyBorder="1" applyAlignment="1">
      <alignment horizontal="center" vertical="center"/>
    </xf>
    <xf numFmtId="0" fontId="23" fillId="0" borderId="0" xfId="40" applyFont="1" applyAlignment="1">
      <alignment vertical="top"/>
    </xf>
    <xf numFmtId="0" fontId="23" fillId="0" borderId="0" xfId="40" applyFont="1" applyAlignment="1">
      <alignment horizontal="left" indent="1"/>
    </xf>
    <xf numFmtId="1" fontId="23" fillId="24" borderId="0" xfId="40" applyNumberFormat="1" applyFont="1" applyFill="1" applyProtection="1">
      <protection hidden="1"/>
    </xf>
    <xf numFmtId="0" fontId="23" fillId="24" borderId="0" xfId="40" applyFont="1" applyFill="1" applyAlignment="1">
      <alignment horizontal="left"/>
    </xf>
    <xf numFmtId="0" fontId="23" fillId="24" borderId="0" xfId="40" applyFont="1" applyFill="1" applyAlignment="1">
      <alignment horizontal="left" wrapText="1"/>
    </xf>
    <xf numFmtId="0" fontId="22" fillId="24" borderId="0" xfId="40" applyFont="1" applyFill="1" applyAlignment="1">
      <alignment horizontal="left"/>
    </xf>
    <xf numFmtId="0" fontId="27" fillId="24" borderId="0" xfId="40" applyFont="1" applyFill="1" applyAlignment="1">
      <alignment horizontal="left"/>
    </xf>
    <xf numFmtId="0" fontId="28" fillId="24" borderId="0" xfId="40" applyFont="1" applyFill="1" applyAlignment="1">
      <alignment horizontal="left"/>
    </xf>
    <xf numFmtId="0" fontId="23" fillId="24" borderId="0" xfId="40" applyFont="1" applyFill="1" applyAlignment="1">
      <alignment wrapText="1"/>
    </xf>
    <xf numFmtId="1" fontId="24" fillId="24" borderId="0" xfId="40" applyNumberFormat="1" applyFont="1" applyFill="1"/>
    <xf numFmtId="1" fontId="23" fillId="24" borderId="0" xfId="40" applyNumberFormat="1" applyFont="1" applyFill="1" applyAlignment="1" applyProtection="1">
      <alignment vertical="center"/>
      <protection hidden="1"/>
    </xf>
    <xf numFmtId="0" fontId="23" fillId="24" borderId="0" xfId="40" applyFont="1" applyFill="1" applyAlignment="1">
      <alignment horizontal="left" vertical="center"/>
    </xf>
    <xf numFmtId="0" fontId="23" fillId="24" borderId="0" xfId="40" applyFont="1" applyFill="1" applyAlignment="1">
      <alignment horizontal="left" vertical="center" wrapText="1"/>
    </xf>
    <xf numFmtId="0" fontId="23" fillId="24" borderId="0" xfId="40" applyFont="1" applyFill="1" applyAlignment="1">
      <alignment vertical="center"/>
    </xf>
    <xf numFmtId="1" fontId="26" fillId="26" borderId="12" xfId="40" applyNumberFormat="1" applyFont="1" applyFill="1" applyBorder="1" applyAlignment="1">
      <alignment horizontal="center" vertical="center"/>
    </xf>
    <xf numFmtId="1" fontId="26" fillId="26" borderId="15" xfId="40" applyNumberFormat="1" applyFont="1" applyFill="1" applyBorder="1" applyAlignment="1">
      <alignment horizontal="center" vertical="center" wrapText="1"/>
    </xf>
    <xf numFmtId="1" fontId="26" fillId="26" borderId="15" xfId="40" applyNumberFormat="1" applyFont="1" applyFill="1" applyBorder="1" applyAlignment="1">
      <alignment horizontal="center" vertical="center"/>
    </xf>
    <xf numFmtId="0" fontId="26" fillId="26" borderId="13" xfId="40" applyFont="1" applyFill="1" applyBorder="1" applyAlignment="1">
      <alignment horizontal="center" vertical="center"/>
    </xf>
    <xf numFmtId="0" fontId="26" fillId="26" borderId="13" xfId="40" applyFont="1" applyFill="1" applyBorder="1" applyAlignment="1">
      <alignment horizontal="center" vertical="center" wrapText="1"/>
    </xf>
    <xf numFmtId="0" fontId="26" fillId="26" borderId="16" xfId="40" applyFont="1" applyFill="1" applyBorder="1" applyAlignment="1">
      <alignment horizontal="center" vertical="center"/>
    </xf>
    <xf numFmtId="0" fontId="26" fillId="26" borderId="14" xfId="40" applyFont="1" applyFill="1" applyBorder="1" applyAlignment="1">
      <alignment horizontal="center" vertical="center"/>
    </xf>
    <xf numFmtId="0" fontId="29" fillId="24" borderId="0" xfId="40" applyFont="1" applyFill="1" applyAlignment="1">
      <alignment horizontal="center"/>
    </xf>
    <xf numFmtId="1" fontId="23" fillId="24" borderId="0" xfId="40" applyNumberFormat="1" applyFont="1" applyFill="1"/>
    <xf numFmtId="0" fontId="29" fillId="24" borderId="0" xfId="37" applyFont="1" applyFill="1"/>
    <xf numFmtId="0" fontId="23" fillId="24" borderId="0" xfId="37" applyFont="1" applyFill="1"/>
    <xf numFmtId="164" fontId="23" fillId="24" borderId="0" xfId="37" applyNumberFormat="1" applyFont="1" applyFill="1"/>
    <xf numFmtId="0" fontId="24" fillId="24" borderId="0" xfId="40" applyFont="1" applyFill="1"/>
    <xf numFmtId="0" fontId="25" fillId="24" borderId="0" xfId="37" applyFont="1" applyFill="1"/>
    <xf numFmtId="0" fontId="26" fillId="25" borderId="15" xfId="40" applyFont="1" applyFill="1" applyBorder="1" applyAlignment="1">
      <alignment horizontal="center"/>
    </xf>
    <xf numFmtId="0" fontId="26" fillId="25" borderId="13" xfId="40" applyFont="1" applyFill="1" applyBorder="1" applyAlignment="1">
      <alignment horizontal="center"/>
    </xf>
    <xf numFmtId="0" fontId="26" fillId="25" borderId="13" xfId="40" applyFont="1" applyFill="1" applyBorder="1" applyAlignment="1">
      <alignment horizontal="center" wrapText="1"/>
    </xf>
    <xf numFmtId="0" fontId="26" fillId="25" borderId="16" xfId="40" applyFont="1" applyFill="1" applyBorder="1" applyAlignment="1">
      <alignment horizontal="center"/>
    </xf>
    <xf numFmtId="0" fontId="26" fillId="25" borderId="17" xfId="40" applyFont="1" applyFill="1" applyBorder="1" applyAlignment="1">
      <alignment horizontal="center" wrapText="1"/>
    </xf>
    <xf numFmtId="0" fontId="31" fillId="0" borderId="18" xfId="40" applyFont="1" applyBorder="1"/>
    <xf numFmtId="0" fontId="32" fillId="0" borderId="18" xfId="40" applyFont="1" applyBorder="1" applyAlignment="1">
      <alignment horizontal="left"/>
    </xf>
    <xf numFmtId="0" fontId="31" fillId="0" borderId="0" xfId="40" applyFont="1"/>
    <xf numFmtId="0" fontId="31" fillId="0" borderId="0" xfId="40" applyFont="1" applyAlignment="1">
      <alignment horizontal="right"/>
    </xf>
    <xf numFmtId="49" fontId="31" fillId="0" borderId="0" xfId="40" applyNumberFormat="1" applyFont="1"/>
    <xf numFmtId="0" fontId="31" fillId="0" borderId="19" xfId="40" applyFont="1" applyBorder="1"/>
    <xf numFmtId="0" fontId="32" fillId="0" borderId="0" xfId="40" applyFont="1" applyAlignment="1">
      <alignment horizontal="left"/>
    </xf>
    <xf numFmtId="0" fontId="32" fillId="0" borderId="0" xfId="40" applyFont="1"/>
    <xf numFmtId="0" fontId="32" fillId="27" borderId="20" xfId="40" applyFont="1" applyFill="1" applyBorder="1" applyAlignment="1">
      <alignment horizontal="left" vertical="top"/>
    </xf>
    <xf numFmtId="0" fontId="31" fillId="27" borderId="21" xfId="40" applyFont="1" applyFill="1" applyBorder="1" applyAlignment="1">
      <alignment horizontal="center" vertical="top"/>
    </xf>
    <xf numFmtId="0" fontId="31" fillId="27" borderId="22" xfId="40" applyFont="1" applyFill="1" applyBorder="1" applyAlignment="1">
      <alignment horizontal="right" vertical="top"/>
    </xf>
    <xf numFmtId="0" fontId="34" fillId="28" borderId="23" xfId="40" applyFont="1" applyFill="1" applyBorder="1" applyAlignment="1">
      <alignment horizontal="right"/>
    </xf>
    <xf numFmtId="0" fontId="35" fillId="0" borderId="24" xfId="40" applyFont="1" applyBorder="1" applyAlignment="1">
      <alignment horizontal="center"/>
    </xf>
    <xf numFmtId="0" fontId="34" fillId="28" borderId="0" xfId="40" applyFont="1" applyFill="1" applyAlignment="1">
      <alignment horizontal="right"/>
    </xf>
    <xf numFmtId="0" fontId="31" fillId="0" borderId="0" xfId="40" applyFont="1" applyAlignment="1">
      <alignment vertical="top"/>
    </xf>
    <xf numFmtId="0" fontId="31" fillId="28" borderId="0" xfId="40" applyFont="1" applyFill="1" applyAlignment="1">
      <alignment horizontal="right"/>
    </xf>
    <xf numFmtId="0" fontId="36" fillId="0" borderId="0" xfId="40" applyFont="1" applyAlignment="1">
      <alignment horizontal="center"/>
    </xf>
    <xf numFmtId="0" fontId="32" fillId="27" borderId="25" xfId="40" applyFont="1" applyFill="1" applyBorder="1" applyAlignment="1">
      <alignment horizontal="left" vertical="top"/>
    </xf>
    <xf numFmtId="0" fontId="31" fillId="27" borderId="26" xfId="40" applyFont="1" applyFill="1" applyBorder="1" applyAlignment="1">
      <alignment horizontal="center" vertical="top"/>
    </xf>
    <xf numFmtId="0" fontId="31" fillId="27" borderId="27" xfId="40" applyFont="1" applyFill="1" applyBorder="1" applyAlignment="1">
      <alignment horizontal="right" vertical="top"/>
    </xf>
    <xf numFmtId="0" fontId="31" fillId="28" borderId="28" xfId="40" applyFont="1" applyFill="1" applyBorder="1" applyAlignment="1">
      <alignment horizontal="right"/>
    </xf>
    <xf numFmtId="0" fontId="35" fillId="0" borderId="29" xfId="40" applyFont="1" applyBorder="1" applyAlignment="1">
      <alignment horizontal="center"/>
    </xf>
    <xf numFmtId="0" fontId="32" fillId="27" borderId="30" xfId="40" applyFont="1" applyFill="1" applyBorder="1"/>
    <xf numFmtId="0" fontId="32" fillId="27" borderId="31" xfId="40" applyFont="1" applyFill="1" applyBorder="1"/>
    <xf numFmtId="0" fontId="31" fillId="27" borderId="32" xfId="40" applyFont="1" applyFill="1" applyBorder="1" applyAlignment="1">
      <alignment horizontal="right"/>
    </xf>
    <xf numFmtId="0" fontId="31" fillId="28" borderId="33" xfId="40" applyFont="1" applyFill="1" applyBorder="1" applyAlignment="1">
      <alignment horizontal="left"/>
    </xf>
    <xf numFmtId="0" fontId="35" fillId="0" borderId="33" xfId="40" applyFont="1" applyBorder="1" applyAlignment="1">
      <alignment horizontal="center"/>
    </xf>
    <xf numFmtId="0" fontId="32" fillId="27" borderId="20" xfId="40" applyFont="1" applyFill="1" applyBorder="1"/>
    <xf numFmtId="0" fontId="31" fillId="27" borderId="21" xfId="40" applyFont="1" applyFill="1" applyBorder="1"/>
    <xf numFmtId="0" fontId="31" fillId="27" borderId="22" xfId="40" applyFont="1" applyFill="1" applyBorder="1" applyAlignment="1">
      <alignment horizontal="right"/>
    </xf>
    <xf numFmtId="0" fontId="31" fillId="28" borderId="24" xfId="40" applyFont="1" applyFill="1" applyBorder="1" applyAlignment="1">
      <alignment horizontal="left"/>
    </xf>
    <xf numFmtId="0" fontId="2" fillId="27" borderId="21" xfId="40" applyFill="1" applyBorder="1"/>
    <xf numFmtId="0" fontId="31" fillId="28" borderId="24" xfId="40" applyFont="1" applyFill="1" applyBorder="1"/>
    <xf numFmtId="0" fontId="37" fillId="0" borderId="24" xfId="40" applyFont="1" applyBorder="1" applyAlignment="1">
      <alignment horizontal="center"/>
    </xf>
    <xf numFmtId="0" fontId="33" fillId="0" borderId="24" xfId="40" applyFont="1" applyBorder="1" applyAlignment="1">
      <alignment horizontal="left"/>
    </xf>
    <xf numFmtId="0" fontId="31" fillId="0" borderId="24" xfId="40" applyFont="1" applyBorder="1"/>
    <xf numFmtId="165" fontId="31" fillId="0" borderId="24" xfId="40" applyNumberFormat="1" applyFont="1" applyBorder="1" applyAlignment="1">
      <alignment vertical="top" textRotation="255"/>
    </xf>
    <xf numFmtId="0" fontId="31" fillId="0" borderId="0" xfId="41" applyFont="1"/>
    <xf numFmtId="0" fontId="31" fillId="0" borderId="0" xfId="41" applyFont="1" applyAlignment="1">
      <alignment horizontal="right"/>
    </xf>
    <xf numFmtId="49" fontId="31" fillId="0" borderId="0" xfId="41" applyNumberFormat="1" applyFont="1"/>
    <xf numFmtId="0" fontId="31" fillId="0" borderId="19" xfId="41" applyFont="1" applyBorder="1"/>
    <xf numFmtId="0" fontId="32" fillId="0" borderId="0" xfId="41" applyFont="1" applyAlignment="1">
      <alignment horizontal="left"/>
    </xf>
    <xf numFmtId="0" fontId="32" fillId="0" borderId="0" xfId="41" applyFont="1"/>
    <xf numFmtId="0" fontId="32" fillId="27" borderId="20" xfId="41" applyFont="1" applyFill="1" applyBorder="1" applyAlignment="1">
      <alignment horizontal="left" vertical="top"/>
    </xf>
    <xf numFmtId="0" fontId="31" fillId="27" borderId="21" xfId="41" applyFont="1" applyFill="1" applyBorder="1" applyAlignment="1">
      <alignment horizontal="center" vertical="top"/>
    </xf>
    <xf numFmtId="0" fontId="31" fillId="27" borderId="22" xfId="41" applyFont="1" applyFill="1" applyBorder="1" applyAlignment="1">
      <alignment horizontal="right" vertical="top"/>
    </xf>
    <xf numFmtId="0" fontId="34" fillId="28" borderId="23" xfId="41" applyFont="1" applyFill="1" applyBorder="1" applyAlignment="1">
      <alignment horizontal="right"/>
    </xf>
    <xf numFmtId="0" fontId="35" fillId="0" borderId="24" xfId="41" applyFont="1" applyBorder="1" applyAlignment="1">
      <alignment horizontal="center"/>
    </xf>
    <xf numFmtId="0" fontId="34" fillId="28" borderId="0" xfId="41" applyFont="1" applyFill="1" applyAlignment="1">
      <alignment horizontal="right"/>
    </xf>
    <xf numFmtId="0" fontId="31" fillId="0" borderId="0" xfId="41" applyFont="1" applyAlignment="1">
      <alignment vertical="top"/>
    </xf>
    <xf numFmtId="0" fontId="31" fillId="28" borderId="0" xfId="41" applyFont="1" applyFill="1" applyAlignment="1">
      <alignment horizontal="right"/>
    </xf>
    <xf numFmtId="0" fontId="36" fillId="0" borderId="0" xfId="41" applyFont="1" applyAlignment="1">
      <alignment horizontal="center"/>
    </xf>
    <xf numFmtId="0" fontId="32" fillId="27" borderId="25" xfId="41" applyFont="1" applyFill="1" applyBorder="1" applyAlignment="1">
      <alignment horizontal="left" vertical="top"/>
    </xf>
    <xf numFmtId="0" fontId="31" fillId="27" borderId="26" xfId="41" applyFont="1" applyFill="1" applyBorder="1" applyAlignment="1">
      <alignment horizontal="center" vertical="top"/>
    </xf>
    <xf numFmtId="0" fontId="31" fillId="27" borderId="27" xfId="41" applyFont="1" applyFill="1" applyBorder="1" applyAlignment="1">
      <alignment horizontal="right" vertical="top"/>
    </xf>
    <xf numFmtId="0" fontId="31" fillId="28" borderId="28" xfId="41" applyFont="1" applyFill="1" applyBorder="1" applyAlignment="1">
      <alignment horizontal="right"/>
    </xf>
    <xf numFmtId="0" fontId="35" fillId="0" borderId="29" xfId="41" applyFont="1" applyBorder="1" applyAlignment="1">
      <alignment horizontal="center"/>
    </xf>
    <xf numFmtId="0" fontId="32" fillId="27" borderId="30" xfId="41" applyFont="1" applyFill="1" applyBorder="1"/>
    <xf numFmtId="0" fontId="32" fillId="27" borderId="31" xfId="41" applyFont="1" applyFill="1" applyBorder="1"/>
    <xf numFmtId="0" fontId="31" fillId="27" borderId="32" xfId="41" applyFont="1" applyFill="1" applyBorder="1" applyAlignment="1">
      <alignment horizontal="right"/>
    </xf>
    <xf numFmtId="0" fontId="31" fillId="28" borderId="33" xfId="41" applyFont="1" applyFill="1" applyBorder="1" applyAlignment="1">
      <alignment horizontal="left"/>
    </xf>
    <xf numFmtId="0" fontId="35" fillId="0" borderId="33" xfId="41" applyFont="1" applyBorder="1" applyAlignment="1">
      <alignment horizontal="center"/>
    </xf>
    <xf numFmtId="0" fontId="32" fillId="27" borderId="20" xfId="41" applyFont="1" applyFill="1" applyBorder="1"/>
    <xf numFmtId="0" fontId="31" fillId="27" borderId="21" xfId="41" applyFont="1" applyFill="1" applyBorder="1"/>
    <xf numFmtId="0" fontId="31" fillId="27" borderId="22" xfId="41" applyFont="1" applyFill="1" applyBorder="1" applyAlignment="1">
      <alignment horizontal="right"/>
    </xf>
    <xf numFmtId="0" fontId="31" fillId="28" borderId="24" xfId="41" applyFont="1" applyFill="1" applyBorder="1" applyAlignment="1">
      <alignment horizontal="left"/>
    </xf>
    <xf numFmtId="0" fontId="1" fillId="27" borderId="21" xfId="41" applyFill="1" applyBorder="1"/>
    <xf numFmtId="0" fontId="31" fillId="28" borderId="24" xfId="41" applyFont="1" applyFill="1" applyBorder="1"/>
    <xf numFmtId="0" fontId="37" fillId="0" borderId="24" xfId="41" applyFont="1" applyBorder="1" applyAlignment="1">
      <alignment horizontal="center"/>
    </xf>
    <xf numFmtId="0" fontId="33" fillId="0" borderId="24" xfId="41" applyFont="1" applyBorder="1" applyAlignment="1">
      <alignment horizontal="left"/>
    </xf>
    <xf numFmtId="0" fontId="31" fillId="0" borderId="24" xfId="41" applyFont="1" applyBorder="1"/>
    <xf numFmtId="165" fontId="31" fillId="0" borderId="24" xfId="41" applyNumberFormat="1" applyFont="1" applyBorder="1" applyAlignment="1">
      <alignment vertical="top" textRotation="255"/>
    </xf>
    <xf numFmtId="0" fontId="32" fillId="27" borderId="20" xfId="40" applyFont="1" applyFill="1" applyBorder="1" applyAlignment="1">
      <alignment horizontal="right"/>
    </xf>
    <xf numFmtId="0" fontId="41" fillId="0" borderId="11" xfId="40" applyFont="1" applyBorder="1"/>
    <xf numFmtId="0" fontId="41" fillId="0" borderId="11" xfId="40" applyFont="1" applyBorder="1" applyAlignment="1">
      <alignment horizontal="left" indent="1"/>
    </xf>
    <xf numFmtId="0" fontId="42" fillId="29" borderId="0" xfId="0" applyFont="1" applyFill="1" applyAlignment="1">
      <alignment horizontal="center"/>
    </xf>
    <xf numFmtId="0" fontId="43" fillId="29" borderId="0" xfId="0" applyFont="1" applyFill="1">
      <alignment vertical="center"/>
    </xf>
    <xf numFmtId="0" fontId="44" fillId="29" borderId="0" xfId="0" applyFont="1" applyFill="1">
      <alignment vertical="center"/>
    </xf>
    <xf numFmtId="0" fontId="45" fillId="29" borderId="0" xfId="0" applyFont="1" applyFill="1" applyAlignment="1">
      <alignment horizontal="justify"/>
    </xf>
    <xf numFmtId="0" fontId="46" fillId="29" borderId="0" xfId="0" applyFont="1" applyFill="1">
      <alignment vertical="center"/>
    </xf>
    <xf numFmtId="0" fontId="47" fillId="29" borderId="0" xfId="0" applyFont="1" applyFill="1" applyAlignment="1">
      <alignment horizontal="justify"/>
    </xf>
    <xf numFmtId="0" fontId="47" fillId="29" borderId="0" xfId="0" applyFont="1" applyFill="1">
      <alignment vertical="center"/>
    </xf>
    <xf numFmtId="0" fontId="45" fillId="29" borderId="0" xfId="0" quotePrefix="1" applyFont="1" applyFill="1" applyAlignment="1">
      <alignment horizontal="justify"/>
    </xf>
    <xf numFmtId="0" fontId="23" fillId="29" borderId="0" xfId="0" applyFont="1" applyFill="1" applyAlignment="1">
      <alignment horizontal="justify"/>
    </xf>
    <xf numFmtId="0" fontId="23" fillId="29" borderId="0" xfId="0" applyFont="1" applyFill="1" applyAlignment="1">
      <alignment horizontal="justify" wrapText="1"/>
    </xf>
    <xf numFmtId="0" fontId="23" fillId="29" borderId="0" xfId="0" applyFont="1" applyFill="1" applyAlignment="1">
      <alignment horizontal="left" wrapText="1"/>
    </xf>
    <xf numFmtId="0" fontId="29" fillId="29" borderId="0" xfId="0" applyFont="1" applyFill="1" applyAlignment="1">
      <alignment horizontal="justify"/>
    </xf>
    <xf numFmtId="0" fontId="41" fillId="29" borderId="0" xfId="0" applyFont="1" applyFill="1" applyAlignment="1">
      <alignment horizontal="justify"/>
    </xf>
    <xf numFmtId="0" fontId="48" fillId="29" borderId="0" xfId="0" applyFont="1" applyFill="1">
      <alignment vertical="center"/>
    </xf>
    <xf numFmtId="0" fontId="29" fillId="24" borderId="34" xfId="40" applyFont="1" applyFill="1" applyBorder="1" applyAlignment="1">
      <alignment horizontal="left"/>
    </xf>
    <xf numFmtId="0" fontId="29" fillId="0" borderId="0" xfId="40" applyFont="1"/>
    <xf numFmtId="0" fontId="29" fillId="0" borderId="0" xfId="40" applyFont="1" applyAlignment="1">
      <alignment horizontal="left"/>
    </xf>
    <xf numFmtId="0" fontId="47" fillId="0" borderId="24" xfId="40" applyFont="1" applyBorder="1" applyAlignment="1">
      <alignment horizontal="center"/>
    </xf>
    <xf numFmtId="0" fontId="32" fillId="0" borderId="0" xfId="40" applyFont="1" applyAlignment="1">
      <alignment horizontal="center"/>
    </xf>
    <xf numFmtId="0" fontId="47" fillId="0" borderId="29" xfId="40" applyFont="1" applyBorder="1" applyAlignment="1">
      <alignment horizontal="center"/>
    </xf>
    <xf numFmtId="0" fontId="47" fillId="0" borderId="33" xfId="40" applyFont="1" applyBorder="1" applyAlignment="1">
      <alignment horizontal="center"/>
    </xf>
    <xf numFmtId="0" fontId="46" fillId="27" borderId="21" xfId="40" applyFont="1" applyFill="1" applyBorder="1"/>
    <xf numFmtId="0" fontId="31" fillId="0" borderId="24" xfId="40" applyFont="1" applyBorder="1" applyAlignment="1">
      <alignment horizontal="center"/>
    </xf>
    <xf numFmtId="0" fontId="34" fillId="24" borderId="35" xfId="38" applyFont="1" applyFill="1" applyBorder="1" applyAlignment="1">
      <alignment wrapText="1"/>
    </xf>
    <xf numFmtId="0" fontId="34" fillId="24" borderId="36" xfId="38" applyFont="1" applyFill="1" applyBorder="1" applyAlignment="1">
      <alignment wrapText="1"/>
    </xf>
    <xf numFmtId="0" fontId="31" fillId="24" borderId="37" xfId="40" applyFont="1" applyFill="1" applyBorder="1" applyAlignment="1">
      <alignment horizontal="center" vertical="center"/>
    </xf>
    <xf numFmtId="0" fontId="31" fillId="0" borderId="0" xfId="40" applyFont="1" applyAlignment="1">
      <alignment horizontal="center"/>
    </xf>
    <xf numFmtId="0" fontId="31" fillId="0" borderId="38" xfId="40" applyFont="1" applyBorder="1"/>
    <xf numFmtId="0" fontId="41" fillId="24" borderId="10" xfId="40" applyFont="1" applyFill="1" applyBorder="1" applyAlignment="1">
      <alignment horizontal="left"/>
    </xf>
    <xf numFmtId="0" fontId="41" fillId="24" borderId="39" xfId="40" applyFont="1" applyFill="1" applyBorder="1" applyAlignment="1">
      <alignment horizontal="left"/>
    </xf>
    <xf numFmtId="0" fontId="41" fillId="24" borderId="11" xfId="40" applyFont="1" applyFill="1" applyBorder="1" applyAlignment="1">
      <alignment horizontal="left"/>
    </xf>
    <xf numFmtId="0" fontId="29" fillId="24" borderId="34" xfId="40" applyFont="1" applyFill="1" applyBorder="1" applyAlignment="1">
      <alignment vertical="center"/>
    </xf>
    <xf numFmtId="0" fontId="29" fillId="24" borderId="0" xfId="40" applyFont="1" applyFill="1" applyAlignment="1">
      <alignment horizontal="left"/>
    </xf>
    <xf numFmtId="2" fontId="29" fillId="24" borderId="0" xfId="40" applyNumberFormat="1" applyFont="1" applyFill="1" applyAlignment="1">
      <alignment horizontal="right" wrapText="1"/>
    </xf>
    <xf numFmtId="0" fontId="34" fillId="24" borderId="39" xfId="38" applyFont="1" applyFill="1" applyBorder="1" applyAlignment="1">
      <alignment horizontal="left" wrapText="1"/>
    </xf>
    <xf numFmtId="0" fontId="32" fillId="27" borderId="40" xfId="40" applyFont="1" applyFill="1" applyBorder="1"/>
    <xf numFmtId="0" fontId="31" fillId="27" borderId="23" xfId="40" applyFont="1" applyFill="1" applyBorder="1"/>
    <xf numFmtId="0" fontId="31" fillId="27" borderId="41" xfId="40" applyFont="1" applyFill="1" applyBorder="1" applyAlignment="1">
      <alignment horizontal="right"/>
    </xf>
    <xf numFmtId="0" fontId="31" fillId="28" borderId="42" xfId="40" applyFont="1" applyFill="1" applyBorder="1" applyAlignment="1">
      <alignment horizontal="left"/>
    </xf>
    <xf numFmtId="0" fontId="47" fillId="0" borderId="42" xfId="40" applyFont="1" applyBorder="1" applyAlignment="1">
      <alignment horizontal="center"/>
    </xf>
    <xf numFmtId="0" fontId="31" fillId="0" borderId="43" xfId="40" applyFont="1" applyBorder="1" applyAlignment="1">
      <alignment horizontal="left"/>
    </xf>
    <xf numFmtId="0" fontId="31" fillId="0" borderId="43" xfId="40" applyFont="1" applyBorder="1" applyAlignment="1">
      <alignment horizontal="center"/>
    </xf>
    <xf numFmtId="0" fontId="49" fillId="0" borderId="0" xfId="40" applyFont="1" applyAlignment="1">
      <alignment vertical="top"/>
    </xf>
    <xf numFmtId="0" fontId="49" fillId="30" borderId="44" xfId="40" applyFont="1" applyFill="1" applyBorder="1" applyAlignment="1">
      <alignment horizontal="left"/>
    </xf>
    <xf numFmtId="0" fontId="50" fillId="30" borderId="44" xfId="40" applyFont="1" applyFill="1" applyBorder="1"/>
    <xf numFmtId="0" fontId="50" fillId="30" borderId="44" xfId="40" applyFont="1" applyFill="1" applyBorder="1" applyAlignment="1">
      <alignment horizontal="right"/>
    </xf>
    <xf numFmtId="0" fontId="49" fillId="30" borderId="44" xfId="40" applyFont="1" applyFill="1" applyBorder="1" applyAlignment="1">
      <alignment vertical="top" textRotation="180"/>
    </xf>
    <xf numFmtId="0" fontId="49" fillId="30" borderId="45" xfId="40" applyFont="1" applyFill="1" applyBorder="1" applyAlignment="1">
      <alignment vertical="top" textRotation="180"/>
    </xf>
    <xf numFmtId="0" fontId="47" fillId="0" borderId="46" xfId="40" applyFont="1" applyBorder="1" applyAlignment="1">
      <alignment horizontal="center"/>
    </xf>
    <xf numFmtId="0" fontId="49" fillId="30" borderId="47" xfId="40" applyFont="1" applyFill="1" applyBorder="1" applyAlignment="1">
      <alignment vertical="center"/>
    </xf>
    <xf numFmtId="0" fontId="47" fillId="0" borderId="48" xfId="40" applyFont="1" applyBorder="1" applyAlignment="1">
      <alignment horizontal="center"/>
    </xf>
    <xf numFmtId="0" fontId="47" fillId="0" borderId="49" xfId="40" applyFont="1" applyBorder="1" applyAlignment="1">
      <alignment horizontal="center"/>
    </xf>
    <xf numFmtId="0" fontId="47" fillId="0" borderId="50" xfId="40" applyFont="1" applyBorder="1" applyAlignment="1">
      <alignment horizontal="center"/>
    </xf>
    <xf numFmtId="0" fontId="31" fillId="0" borderId="51" xfId="40" applyFont="1" applyBorder="1" applyAlignment="1">
      <alignment horizontal="center"/>
    </xf>
    <xf numFmtId="0" fontId="49" fillId="30" borderId="52" xfId="40" applyFont="1" applyFill="1" applyBorder="1" applyAlignment="1">
      <alignment vertical="top"/>
    </xf>
    <xf numFmtId="0" fontId="31" fillId="0" borderId="46" xfId="40" applyFont="1" applyBorder="1" applyAlignment="1">
      <alignment horizontal="center"/>
    </xf>
    <xf numFmtId="165" fontId="31" fillId="0" borderId="46" xfId="40" applyNumberFormat="1" applyFont="1" applyBorder="1" applyAlignment="1">
      <alignment vertical="top" textRotation="255"/>
    </xf>
    <xf numFmtId="0" fontId="49" fillId="30" borderId="53" xfId="40" applyFont="1" applyFill="1" applyBorder="1" applyAlignment="1">
      <alignment vertical="top"/>
    </xf>
    <xf numFmtId="0" fontId="31" fillId="0" borderId="29" xfId="40" applyFont="1" applyBorder="1"/>
    <xf numFmtId="0" fontId="31" fillId="0" borderId="29" xfId="40" applyFont="1" applyBorder="1" applyAlignment="1">
      <alignment textRotation="255"/>
    </xf>
    <xf numFmtId="0" fontId="31" fillId="0" borderId="48" xfId="40" applyFont="1" applyBorder="1" applyAlignment="1">
      <alignment textRotation="255"/>
    </xf>
    <xf numFmtId="0" fontId="49" fillId="30" borderId="47" xfId="40" applyFont="1" applyFill="1" applyBorder="1" applyAlignment="1">
      <alignment vertical="top"/>
    </xf>
    <xf numFmtId="0" fontId="49" fillId="30" borderId="54" xfId="40" applyFont="1" applyFill="1" applyBorder="1" applyAlignment="1">
      <alignment vertical="top"/>
    </xf>
    <xf numFmtId="0" fontId="49" fillId="30" borderId="54" xfId="40" applyFont="1" applyFill="1" applyBorder="1" applyAlignment="1">
      <alignment vertical="center"/>
    </xf>
    <xf numFmtId="0" fontId="32" fillId="27" borderId="30" xfId="40" applyFont="1" applyFill="1" applyBorder="1" applyAlignment="1">
      <alignment horizontal="left" vertical="top"/>
    </xf>
    <xf numFmtId="0" fontId="31" fillId="27" borderId="31" xfId="40" applyFont="1" applyFill="1" applyBorder="1" applyAlignment="1">
      <alignment horizontal="center" vertical="top"/>
    </xf>
    <xf numFmtId="0" fontId="31" fillId="27" borderId="32" xfId="40" applyFont="1" applyFill="1" applyBorder="1" applyAlignment="1">
      <alignment horizontal="right" vertical="top"/>
    </xf>
    <xf numFmtId="0" fontId="35" fillId="0" borderId="42" xfId="40" applyFont="1" applyBorder="1" applyAlignment="1">
      <alignment horizontal="center"/>
    </xf>
    <xf numFmtId="0" fontId="37" fillId="0" borderId="43" xfId="40" applyFont="1" applyBorder="1" applyAlignment="1">
      <alignment horizontal="center"/>
    </xf>
    <xf numFmtId="0" fontId="50" fillId="30" borderId="55" xfId="40" applyFont="1" applyFill="1" applyBorder="1"/>
    <xf numFmtId="0" fontId="49" fillId="30" borderId="56" xfId="40" applyFont="1" applyFill="1" applyBorder="1" applyAlignment="1">
      <alignment horizontal="left"/>
    </xf>
    <xf numFmtId="0" fontId="50" fillId="30" borderId="56" xfId="40" applyFont="1" applyFill="1" applyBorder="1"/>
    <xf numFmtId="0" fontId="50" fillId="30" borderId="56" xfId="40" applyFont="1" applyFill="1" applyBorder="1" applyAlignment="1">
      <alignment horizontal="right"/>
    </xf>
    <xf numFmtId="0" fontId="49" fillId="30" borderId="56" xfId="40" applyFont="1" applyFill="1" applyBorder="1" applyAlignment="1">
      <alignment vertical="top" textRotation="180"/>
    </xf>
    <xf numFmtId="0" fontId="49" fillId="30" borderId="57" xfId="40" applyFont="1" applyFill="1" applyBorder="1" applyAlignment="1">
      <alignment vertical="top" textRotation="180"/>
    </xf>
    <xf numFmtId="0" fontId="35" fillId="0" borderId="46" xfId="40" applyFont="1" applyBorder="1" applyAlignment="1">
      <alignment horizontal="center"/>
    </xf>
    <xf numFmtId="0" fontId="35" fillId="0" borderId="48" xfId="40" applyFont="1" applyBorder="1" applyAlignment="1">
      <alignment horizontal="center"/>
    </xf>
    <xf numFmtId="0" fontId="35" fillId="0" borderId="49" xfId="40" applyFont="1" applyBorder="1" applyAlignment="1">
      <alignment horizontal="center"/>
    </xf>
    <xf numFmtId="0" fontId="35" fillId="0" borderId="50" xfId="40" applyFont="1" applyBorder="1" applyAlignment="1">
      <alignment horizontal="center"/>
    </xf>
    <xf numFmtId="0" fontId="37" fillId="0" borderId="51" xfId="40" applyFont="1" applyBorder="1" applyAlignment="1">
      <alignment horizontal="center"/>
    </xf>
    <xf numFmtId="0" fontId="37" fillId="0" borderId="46" xfId="40" applyFont="1" applyBorder="1" applyAlignment="1">
      <alignment horizontal="center"/>
    </xf>
    <xf numFmtId="0" fontId="49" fillId="30" borderId="58" xfId="40" applyFont="1" applyFill="1" applyBorder="1" applyAlignment="1">
      <alignment vertical="top"/>
    </xf>
    <xf numFmtId="164" fontId="26" fillId="25" borderId="59" xfId="40" applyNumberFormat="1" applyFont="1" applyFill="1" applyBorder="1" applyAlignment="1">
      <alignment horizontal="center" vertical="center"/>
    </xf>
    <xf numFmtId="0" fontId="49" fillId="30" borderId="60" xfId="40" applyFont="1" applyFill="1" applyBorder="1" applyAlignment="1">
      <alignment horizontal="left"/>
    </xf>
    <xf numFmtId="0" fontId="50" fillId="30" borderId="60" xfId="40" applyFont="1" applyFill="1" applyBorder="1"/>
    <xf numFmtId="0" fontId="50" fillId="30" borderId="60" xfId="40" applyFont="1" applyFill="1" applyBorder="1" applyAlignment="1">
      <alignment horizontal="right"/>
    </xf>
    <xf numFmtId="0" fontId="49" fillId="30" borderId="60" xfId="40" applyFont="1" applyFill="1" applyBorder="1" applyAlignment="1">
      <alignment vertical="top" textRotation="180"/>
    </xf>
    <xf numFmtId="0" fontId="49" fillId="30" borderId="61" xfId="40" applyFont="1" applyFill="1" applyBorder="1" applyAlignment="1">
      <alignment vertical="top" textRotation="180"/>
    </xf>
    <xf numFmtId="0" fontId="34" fillId="24" borderId="35" xfId="39" applyFont="1" applyFill="1" applyBorder="1" applyAlignment="1">
      <alignment wrapText="1"/>
    </xf>
    <xf numFmtId="0" fontId="34" fillId="24" borderId="36" xfId="39" applyFont="1" applyFill="1" applyBorder="1" applyAlignment="1">
      <alignment wrapText="1"/>
    </xf>
    <xf numFmtId="0" fontId="34" fillId="24" borderId="39" xfId="39" applyFont="1" applyFill="1" applyBorder="1" applyAlignment="1">
      <alignment horizontal="left" wrapText="1"/>
    </xf>
    <xf numFmtId="0" fontId="31" fillId="24" borderId="37" xfId="41" applyFont="1" applyFill="1" applyBorder="1" applyAlignment="1">
      <alignment horizontal="center" vertical="center"/>
    </xf>
    <xf numFmtId="0" fontId="32" fillId="27" borderId="40" xfId="41" applyFont="1" applyFill="1" applyBorder="1"/>
    <xf numFmtId="0" fontId="31" fillId="27" borderId="23" xfId="41" applyFont="1" applyFill="1" applyBorder="1"/>
    <xf numFmtId="0" fontId="31" fillId="27" borderId="41" xfId="41" applyFont="1" applyFill="1" applyBorder="1" applyAlignment="1">
      <alignment horizontal="right"/>
    </xf>
    <xf numFmtId="0" fontId="31" fillId="28" borderId="42" xfId="41" applyFont="1" applyFill="1" applyBorder="1" applyAlignment="1">
      <alignment horizontal="left"/>
    </xf>
    <xf numFmtId="0" fontId="35" fillId="0" borderId="42" xfId="41" applyFont="1" applyBorder="1" applyAlignment="1">
      <alignment horizontal="center"/>
    </xf>
    <xf numFmtId="0" fontId="31" fillId="0" borderId="43" xfId="41" applyFont="1" applyBorder="1" applyAlignment="1">
      <alignment horizontal="left"/>
    </xf>
    <xf numFmtId="0" fontId="37" fillId="0" borderId="43" xfId="41" applyFont="1" applyBorder="1" applyAlignment="1">
      <alignment horizontal="center"/>
    </xf>
    <xf numFmtId="0" fontId="50" fillId="30" borderId="55" xfId="41" applyFont="1" applyFill="1" applyBorder="1"/>
    <xf numFmtId="0" fontId="49" fillId="30" borderId="44" xfId="41" applyFont="1" applyFill="1" applyBorder="1" applyAlignment="1">
      <alignment horizontal="left"/>
    </xf>
    <xf numFmtId="0" fontId="50" fillId="30" borderId="44" xfId="41" applyFont="1" applyFill="1" applyBorder="1"/>
    <xf numFmtId="0" fontId="50" fillId="30" borderId="44" xfId="41" applyFont="1" applyFill="1" applyBorder="1" applyAlignment="1">
      <alignment horizontal="right"/>
    </xf>
    <xf numFmtId="0" fontId="49" fillId="30" borderId="44" xfId="41" applyFont="1" applyFill="1" applyBorder="1" applyAlignment="1">
      <alignment vertical="top" textRotation="180"/>
    </xf>
    <xf numFmtId="0" fontId="49" fillId="30" borderId="45" xfId="41" applyFont="1" applyFill="1" applyBorder="1" applyAlignment="1">
      <alignment vertical="top" textRotation="180"/>
    </xf>
    <xf numFmtId="0" fontId="49" fillId="30" borderId="54" xfId="41" applyFont="1" applyFill="1" applyBorder="1" applyAlignment="1">
      <alignment vertical="center"/>
    </xf>
    <xf numFmtId="0" fontId="35" fillId="0" borderId="46" xfId="41" applyFont="1" applyBorder="1" applyAlignment="1">
      <alignment horizontal="center"/>
    </xf>
    <xf numFmtId="0" fontId="49" fillId="30" borderId="47" xfId="41" applyFont="1" applyFill="1" applyBorder="1" applyAlignment="1">
      <alignment vertical="center"/>
    </xf>
    <xf numFmtId="0" fontId="35" fillId="0" borderId="48" xfId="41" applyFont="1" applyBorder="1" applyAlignment="1">
      <alignment horizontal="center"/>
    </xf>
    <xf numFmtId="0" fontId="49" fillId="30" borderId="54" xfId="41" applyFont="1" applyFill="1" applyBorder="1" applyAlignment="1">
      <alignment vertical="top"/>
    </xf>
    <xf numFmtId="0" fontId="35" fillId="0" borderId="49" xfId="41" applyFont="1" applyBorder="1" applyAlignment="1">
      <alignment horizontal="center"/>
    </xf>
    <xf numFmtId="0" fontId="49" fillId="30" borderId="47" xfId="41" applyFont="1" applyFill="1" applyBorder="1" applyAlignment="1">
      <alignment vertical="top"/>
    </xf>
    <xf numFmtId="0" fontId="35" fillId="0" borderId="50" xfId="41" applyFont="1" applyBorder="1" applyAlignment="1">
      <alignment horizontal="center"/>
    </xf>
    <xf numFmtId="0" fontId="37" fillId="0" borderId="51" xfId="41" applyFont="1" applyBorder="1" applyAlignment="1">
      <alignment horizontal="center"/>
    </xf>
    <xf numFmtId="0" fontId="49" fillId="30" borderId="52" xfId="41" applyFont="1" applyFill="1" applyBorder="1" applyAlignment="1">
      <alignment vertical="top"/>
    </xf>
    <xf numFmtId="0" fontId="37" fillId="0" borderId="46" xfId="41" applyFont="1" applyBorder="1" applyAlignment="1">
      <alignment horizontal="center"/>
    </xf>
    <xf numFmtId="165" fontId="31" fillId="0" borderId="46" xfId="41" applyNumberFormat="1" applyFont="1" applyBorder="1" applyAlignment="1">
      <alignment vertical="top" textRotation="255"/>
    </xf>
    <xf numFmtId="0" fontId="49" fillId="30" borderId="53" xfId="41" applyFont="1" applyFill="1" applyBorder="1" applyAlignment="1">
      <alignment vertical="top"/>
    </xf>
    <xf numFmtId="0" fontId="31" fillId="0" borderId="29" xfId="41" applyFont="1" applyBorder="1"/>
    <xf numFmtId="0" fontId="31" fillId="0" borderId="29" xfId="41" applyFont="1" applyBorder="1" applyAlignment="1">
      <alignment textRotation="255"/>
    </xf>
    <xf numFmtId="0" fontId="31" fillId="0" borderId="48" xfId="41" applyFont="1" applyBorder="1" applyAlignment="1">
      <alignment textRotation="255"/>
    </xf>
    <xf numFmtId="0" fontId="22" fillId="24" borderId="0" xfId="37" applyFont="1" applyFill="1" applyAlignment="1">
      <alignment horizontal="center"/>
    </xf>
    <xf numFmtId="0" fontId="29" fillId="24" borderId="10" xfId="40" applyFont="1" applyFill="1" applyBorder="1" applyAlignment="1">
      <alignment horizontal="center"/>
    </xf>
    <xf numFmtId="0" fontId="29" fillId="24" borderId="39" xfId="40" applyFont="1" applyFill="1" applyBorder="1" applyAlignment="1">
      <alignment horizontal="center"/>
    </xf>
    <xf numFmtId="0" fontId="29" fillId="24" borderId="11" xfId="40" applyFont="1" applyFill="1" applyBorder="1" applyAlignment="1">
      <alignment horizontal="center"/>
    </xf>
    <xf numFmtId="0" fontId="22" fillId="0" borderId="34" xfId="40" applyFont="1" applyBorder="1" applyAlignment="1">
      <alignment horizontal="center" vertical="center"/>
    </xf>
    <xf numFmtId="0" fontId="41" fillId="0" borderId="34" xfId="40" applyFont="1" applyBorder="1" applyAlignment="1">
      <alignment horizontal="left"/>
    </xf>
    <xf numFmtId="0" fontId="41" fillId="0" borderId="10" xfId="40" applyFont="1" applyBorder="1" applyAlignment="1">
      <alignment horizontal="left" vertical="center"/>
    </xf>
    <xf numFmtId="0" fontId="41" fillId="0" borderId="39" xfId="40" applyFont="1" applyBorder="1" applyAlignment="1">
      <alignment horizontal="left" vertical="center"/>
    </xf>
    <xf numFmtId="0" fontId="41" fillId="0" borderId="11" xfId="40" applyFont="1" applyBorder="1" applyAlignment="1">
      <alignment horizontal="left" vertical="center"/>
    </xf>
    <xf numFmtId="1" fontId="29" fillId="24" borderId="34" xfId="40" applyNumberFormat="1" applyFont="1" applyFill="1" applyBorder="1" applyAlignment="1">
      <alignment vertical="center" wrapText="1"/>
    </xf>
    <xf numFmtId="1" fontId="29" fillId="24" borderId="10" xfId="40" applyNumberFormat="1" applyFont="1" applyFill="1" applyBorder="1"/>
    <xf numFmtId="0" fontId="41" fillId="24" borderId="10" xfId="40" applyFont="1" applyFill="1" applyBorder="1" applyAlignment="1">
      <alignment horizontal="left"/>
    </xf>
    <xf numFmtId="0" fontId="41" fillId="24" borderId="39" xfId="40" applyFont="1" applyFill="1" applyBorder="1" applyAlignment="1">
      <alignment horizontal="left"/>
    </xf>
    <xf numFmtId="0" fontId="41" fillId="24" borderId="11" xfId="40" applyFont="1" applyFill="1" applyBorder="1" applyAlignment="1">
      <alignment horizontal="left"/>
    </xf>
    <xf numFmtId="0" fontId="41" fillId="24" borderId="10" xfId="40" applyFont="1" applyFill="1" applyBorder="1" applyAlignment="1">
      <alignment horizontal="left" vertical="top" wrapText="1"/>
    </xf>
    <xf numFmtId="0" fontId="41" fillId="24" borderId="39" xfId="40" applyFont="1" applyFill="1" applyBorder="1" applyAlignment="1">
      <alignment horizontal="left" vertical="top" wrapText="1"/>
    </xf>
    <xf numFmtId="0" fontId="41" fillId="24" borderId="11" xfId="40" applyFont="1" applyFill="1" applyBorder="1" applyAlignment="1">
      <alignment horizontal="left" vertical="top" wrapText="1"/>
    </xf>
    <xf numFmtId="1" fontId="29" fillId="24" borderId="10" xfId="40" applyNumberFormat="1" applyFont="1" applyFill="1" applyBorder="1" applyAlignment="1">
      <alignment horizontal="left"/>
    </xf>
    <xf numFmtId="1" fontId="29" fillId="24" borderId="39" xfId="40" applyNumberFormat="1" applyFont="1" applyFill="1" applyBorder="1" applyAlignment="1">
      <alignment horizontal="left"/>
    </xf>
    <xf numFmtId="1" fontId="29" fillId="24" borderId="11" xfId="40" applyNumberFormat="1" applyFont="1" applyFill="1" applyBorder="1" applyAlignment="1">
      <alignment horizontal="left"/>
    </xf>
    <xf numFmtId="0" fontId="32" fillId="24" borderId="62" xfId="40" applyFont="1" applyFill="1" applyBorder="1" applyAlignment="1">
      <alignment horizontal="center" vertical="center" wrapText="1"/>
    </xf>
    <xf numFmtId="0" fontId="32" fillId="24" borderId="39" xfId="40" applyFont="1" applyFill="1" applyBorder="1" applyAlignment="1">
      <alignment horizontal="center" vertical="center" wrapText="1"/>
    </xf>
    <xf numFmtId="0" fontId="32" fillId="24" borderId="63" xfId="40" applyFont="1" applyFill="1" applyBorder="1" applyAlignment="1">
      <alignment horizontal="center" vertical="center" wrapText="1"/>
    </xf>
    <xf numFmtId="49" fontId="31" fillId="24" borderId="64" xfId="38" applyNumberFormat="1" applyFont="1" applyFill="1" applyBorder="1" applyAlignment="1">
      <alignment horizontal="center" wrapText="1"/>
    </xf>
    <xf numFmtId="0" fontId="31" fillId="24" borderId="65" xfId="38" applyFont="1" applyFill="1" applyBorder="1" applyAlignment="1">
      <alignment horizontal="center" wrapText="1"/>
    </xf>
    <xf numFmtId="0" fontId="31" fillId="24" borderId="66" xfId="38" applyFont="1" applyFill="1" applyBorder="1" applyAlignment="1">
      <alignment horizontal="center" wrapText="1"/>
    </xf>
    <xf numFmtId="0" fontId="34" fillId="24" borderId="35" xfId="38" applyFont="1" applyFill="1" applyBorder="1" applyAlignment="1">
      <alignment horizontal="left" wrapText="1"/>
    </xf>
    <xf numFmtId="0" fontId="32" fillId="24" borderId="10" xfId="40" applyFont="1" applyFill="1" applyBorder="1" applyAlignment="1">
      <alignment horizontal="center" vertical="center" wrapText="1"/>
    </xf>
    <xf numFmtId="0" fontId="32" fillId="24" borderId="11" xfId="40" applyFont="1" applyFill="1" applyBorder="1" applyAlignment="1">
      <alignment horizontal="center" vertical="center" wrapText="1"/>
    </xf>
    <xf numFmtId="0" fontId="32" fillId="24" borderId="20" xfId="38" applyFont="1" applyFill="1" applyBorder="1" applyAlignment="1">
      <alignment horizontal="left" wrapText="1"/>
    </xf>
    <xf numFmtId="0" fontId="32" fillId="24" borderId="21" xfId="38" applyFont="1" applyFill="1" applyBorder="1" applyAlignment="1">
      <alignment horizontal="left" wrapText="1"/>
    </xf>
    <xf numFmtId="0" fontId="32" fillId="24" borderId="22" xfId="38" applyFont="1" applyFill="1" applyBorder="1" applyAlignment="1">
      <alignment horizontal="left" wrapText="1"/>
    </xf>
    <xf numFmtId="0" fontId="31" fillId="24" borderId="62" xfId="38" applyFont="1" applyFill="1" applyBorder="1" applyAlignment="1">
      <alignment horizontal="center" wrapText="1"/>
    </xf>
    <xf numFmtId="0" fontId="31" fillId="24" borderId="39" xfId="38" applyFont="1" applyFill="1" applyBorder="1" applyAlignment="1">
      <alignment horizontal="center" wrapText="1"/>
    </xf>
    <xf numFmtId="0" fontId="31" fillId="24" borderId="67" xfId="38" applyFont="1" applyFill="1" applyBorder="1" applyAlignment="1">
      <alignment horizontal="center" wrapText="1"/>
    </xf>
    <xf numFmtId="0" fontId="32" fillId="24" borderId="68" xfId="40" applyFont="1" applyFill="1" applyBorder="1" applyAlignment="1">
      <alignment horizontal="center" vertical="center" wrapText="1"/>
    </xf>
    <xf numFmtId="0" fontId="31" fillId="0" borderId="24" xfId="40" applyFont="1" applyBorder="1" applyAlignment="1">
      <alignment horizontal="left" vertical="top"/>
    </xf>
    <xf numFmtId="0" fontId="31" fillId="0" borderId="29" xfId="40" applyFont="1" applyBorder="1" applyAlignment="1">
      <alignment horizontal="left" vertical="top"/>
    </xf>
    <xf numFmtId="0" fontId="31" fillId="0" borderId="43" xfId="40" applyFont="1" applyBorder="1" applyAlignment="1">
      <alignment horizontal="left"/>
    </xf>
    <xf numFmtId="0" fontId="34" fillId="24" borderId="69" xfId="38" applyFont="1" applyFill="1" applyBorder="1" applyAlignment="1">
      <alignment horizontal="left" wrapText="1"/>
    </xf>
    <xf numFmtId="0" fontId="34" fillId="24" borderId="70" xfId="38" applyFont="1" applyFill="1" applyBorder="1" applyAlignment="1">
      <alignment horizontal="left" wrapText="1"/>
    </xf>
    <xf numFmtId="0" fontId="31" fillId="0" borderId="0" xfId="40" applyFont="1" applyAlignment="1">
      <alignment horizontal="right"/>
    </xf>
    <xf numFmtId="0" fontId="32" fillId="24" borderId="71" xfId="40" applyFont="1" applyFill="1" applyBorder="1" applyAlignment="1">
      <alignment horizontal="center" vertical="center"/>
    </xf>
    <xf numFmtId="0" fontId="32" fillId="24" borderId="11" xfId="40" applyFont="1" applyFill="1" applyBorder="1" applyAlignment="1">
      <alignment horizontal="center" vertical="center"/>
    </xf>
    <xf numFmtId="0" fontId="32" fillId="24" borderId="71" xfId="38" applyFont="1" applyFill="1" applyBorder="1" applyAlignment="1">
      <alignment horizontal="left" wrapText="1"/>
    </xf>
    <xf numFmtId="0" fontId="32" fillId="24" borderId="11" xfId="38" applyFont="1" applyFill="1" applyBorder="1" applyAlignment="1">
      <alignment horizontal="left" wrapText="1"/>
    </xf>
    <xf numFmtId="0" fontId="34" fillId="24" borderId="72" xfId="38" applyFont="1" applyFill="1" applyBorder="1" applyAlignment="1">
      <alignment horizontal="left" wrapText="1"/>
    </xf>
    <xf numFmtId="0" fontId="34" fillId="24" borderId="73" xfId="38" applyFont="1" applyFill="1" applyBorder="1" applyAlignment="1">
      <alignment horizontal="left" wrapText="1"/>
    </xf>
    <xf numFmtId="0" fontId="31" fillId="24" borderId="37" xfId="40" applyFont="1" applyFill="1" applyBorder="1" applyAlignment="1">
      <alignment horizontal="center" vertical="center"/>
    </xf>
    <xf numFmtId="0" fontId="31" fillId="24" borderId="74" xfId="40" applyFont="1" applyFill="1" applyBorder="1" applyAlignment="1">
      <alignment horizontal="center" vertical="center"/>
    </xf>
    <xf numFmtId="0" fontId="31" fillId="24" borderId="75" xfId="40" applyFont="1" applyFill="1" applyBorder="1" applyAlignment="1">
      <alignment horizontal="center" vertical="center"/>
    </xf>
    <xf numFmtId="0" fontId="32" fillId="24" borderId="76" xfId="38" applyFont="1" applyFill="1" applyBorder="1" applyAlignment="1">
      <alignment horizontal="left" wrapText="1"/>
    </xf>
    <xf numFmtId="0" fontId="32" fillId="24" borderId="65" xfId="38" applyFont="1" applyFill="1" applyBorder="1" applyAlignment="1">
      <alignment horizontal="left" wrapText="1"/>
    </xf>
    <xf numFmtId="49" fontId="34" fillId="24" borderId="64" xfId="38" applyNumberFormat="1" applyFont="1" applyFill="1" applyBorder="1" applyAlignment="1">
      <alignment horizontal="left" wrapText="1"/>
    </xf>
    <xf numFmtId="0" fontId="34" fillId="24" borderId="65" xfId="38" applyFont="1" applyFill="1" applyBorder="1" applyAlignment="1">
      <alignment horizontal="left" wrapText="1"/>
    </xf>
    <xf numFmtId="0" fontId="34" fillId="24" borderId="77" xfId="38" applyFont="1" applyFill="1" applyBorder="1" applyAlignment="1">
      <alignment horizontal="left" wrapText="1"/>
    </xf>
    <xf numFmtId="0" fontId="32" fillId="24" borderId="78" xfId="38" applyFont="1" applyFill="1" applyBorder="1" applyAlignment="1">
      <alignment horizontal="left" wrapText="1"/>
    </xf>
    <xf numFmtId="0" fontId="32" fillId="24" borderId="79" xfId="38" applyFont="1" applyFill="1" applyBorder="1" applyAlignment="1">
      <alignment horizontal="left" wrapText="1"/>
    </xf>
    <xf numFmtId="0" fontId="31" fillId="0" borderId="24" xfId="40" applyFont="1" applyBorder="1" applyAlignment="1">
      <alignment horizontal="left"/>
    </xf>
    <xf numFmtId="0" fontId="31" fillId="24" borderId="80" xfId="40" applyFont="1" applyFill="1" applyBorder="1" applyAlignment="1">
      <alignment horizontal="center" vertical="center"/>
    </xf>
    <xf numFmtId="0" fontId="31" fillId="24" borderId="81" xfId="40" applyFont="1" applyFill="1" applyBorder="1" applyAlignment="1">
      <alignment horizontal="center" vertical="center"/>
    </xf>
    <xf numFmtId="0" fontId="31" fillId="24" borderId="82" xfId="40" applyFont="1" applyFill="1" applyBorder="1" applyAlignment="1">
      <alignment horizontal="center" vertical="center"/>
    </xf>
    <xf numFmtId="0" fontId="31" fillId="24" borderId="83" xfId="40" applyFont="1" applyFill="1" applyBorder="1" applyAlignment="1">
      <alignment horizontal="center" vertical="center"/>
    </xf>
    <xf numFmtId="0" fontId="34" fillId="24" borderId="10" xfId="38" applyFont="1" applyFill="1" applyBorder="1" applyAlignment="1">
      <alignment horizontal="center" wrapText="1"/>
    </xf>
    <xf numFmtId="0" fontId="34" fillId="24" borderId="39" xfId="38" applyFont="1" applyFill="1" applyBorder="1" applyAlignment="1">
      <alignment horizontal="center" wrapText="1"/>
    </xf>
    <xf numFmtId="0" fontId="32" fillId="24" borderId="84" xfId="38" applyFont="1" applyFill="1" applyBorder="1" applyAlignment="1">
      <alignment horizontal="left" wrapText="1"/>
    </xf>
    <xf numFmtId="0" fontId="32" fillId="24" borderId="85" xfId="38" applyFont="1" applyFill="1" applyBorder="1" applyAlignment="1">
      <alignment horizontal="left" wrapText="1"/>
    </xf>
    <xf numFmtId="0" fontId="32" fillId="24" borderId="86" xfId="38" applyFont="1" applyFill="1" applyBorder="1" applyAlignment="1">
      <alignment horizontal="left" wrapText="1"/>
    </xf>
    <xf numFmtId="0" fontId="32" fillId="24" borderId="38" xfId="38" applyFont="1" applyFill="1" applyBorder="1" applyAlignment="1">
      <alignment horizontal="left" wrapText="1"/>
    </xf>
    <xf numFmtId="49" fontId="34" fillId="24" borderId="38" xfId="38" applyNumberFormat="1" applyFont="1" applyFill="1" applyBorder="1" applyAlignment="1">
      <alignment horizontal="left" wrapText="1"/>
    </xf>
    <xf numFmtId="49" fontId="34" fillId="24" borderId="87" xfId="38" applyNumberFormat="1" applyFont="1" applyFill="1" applyBorder="1" applyAlignment="1">
      <alignment horizontal="left" wrapText="1"/>
    </xf>
    <xf numFmtId="0" fontId="30" fillId="0" borderId="38" xfId="0" applyFont="1" applyBorder="1">
      <alignment vertical="center"/>
    </xf>
    <xf numFmtId="0" fontId="32" fillId="24" borderId="30" xfId="38" applyFont="1" applyFill="1" applyBorder="1" applyAlignment="1">
      <alignment horizontal="left" wrapText="1"/>
    </xf>
    <xf numFmtId="0" fontId="32" fillId="24" borderId="31" xfId="38" applyFont="1" applyFill="1" applyBorder="1" applyAlignment="1">
      <alignment horizontal="left" wrapText="1"/>
    </xf>
    <xf numFmtId="0" fontId="32" fillId="24" borderId="32" xfId="38" applyFont="1" applyFill="1" applyBorder="1" applyAlignment="1">
      <alignment horizontal="left" wrapText="1"/>
    </xf>
    <xf numFmtId="0" fontId="31" fillId="0" borderId="29" xfId="41" applyFont="1" applyBorder="1" applyAlignment="1">
      <alignment horizontal="left" vertical="top"/>
    </xf>
    <xf numFmtId="0" fontId="31" fillId="0" borderId="43" xfId="41" applyFont="1" applyBorder="1" applyAlignment="1">
      <alignment horizontal="left"/>
    </xf>
    <xf numFmtId="0" fontId="34" fillId="24" borderId="69" xfId="39" applyFont="1" applyFill="1" applyBorder="1" applyAlignment="1">
      <alignment horizontal="left" wrapText="1"/>
    </xf>
    <xf numFmtId="0" fontId="34" fillId="24" borderId="35" xfId="39" applyFont="1" applyFill="1" applyBorder="1" applyAlignment="1">
      <alignment horizontal="left" wrapText="1"/>
    </xf>
    <xf numFmtId="0" fontId="34" fillId="24" borderId="70" xfId="39" applyFont="1" applyFill="1" applyBorder="1" applyAlignment="1">
      <alignment horizontal="left" wrapText="1"/>
    </xf>
    <xf numFmtId="0" fontId="31" fillId="0" borderId="0" xfId="41" applyFont="1" applyAlignment="1">
      <alignment horizontal="right"/>
    </xf>
    <xf numFmtId="0" fontId="32" fillId="24" borderId="71" xfId="41" applyFont="1" applyFill="1" applyBorder="1" applyAlignment="1">
      <alignment horizontal="center" vertical="center"/>
    </xf>
    <xf numFmtId="0" fontId="32" fillId="24" borderId="11" xfId="41" applyFont="1" applyFill="1" applyBorder="1" applyAlignment="1">
      <alignment horizontal="center" vertical="center"/>
    </xf>
    <xf numFmtId="0" fontId="32" fillId="24" borderId="71" xfId="39" applyFont="1" applyFill="1" applyBorder="1" applyAlignment="1">
      <alignment horizontal="left" wrapText="1"/>
    </xf>
    <xf numFmtId="0" fontId="32" fillId="24" borderId="11" xfId="39" applyFont="1" applyFill="1" applyBorder="1" applyAlignment="1">
      <alignment horizontal="left" wrapText="1"/>
    </xf>
    <xf numFmtId="0" fontId="34" fillId="24" borderId="72" xfId="39" applyFont="1" applyFill="1" applyBorder="1" applyAlignment="1">
      <alignment horizontal="left" wrapText="1"/>
    </xf>
    <xf numFmtId="0" fontId="34" fillId="24" borderId="73" xfId="39" applyFont="1" applyFill="1" applyBorder="1" applyAlignment="1">
      <alignment horizontal="left" wrapText="1"/>
    </xf>
    <xf numFmtId="0" fontId="32" fillId="24" borderId="39" xfId="41" applyFont="1" applyFill="1" applyBorder="1" applyAlignment="1">
      <alignment horizontal="center" vertical="center" wrapText="1"/>
    </xf>
    <xf numFmtId="0" fontId="31" fillId="24" borderId="37" xfId="41" applyFont="1" applyFill="1" applyBorder="1" applyAlignment="1">
      <alignment horizontal="center" vertical="center"/>
    </xf>
    <xf numFmtId="0" fontId="31" fillId="24" borderId="74" xfId="41" applyFont="1" applyFill="1" applyBorder="1" applyAlignment="1">
      <alignment horizontal="center" vertical="center"/>
    </xf>
    <xf numFmtId="0" fontId="31" fillId="24" borderId="75" xfId="41" applyFont="1" applyFill="1" applyBorder="1" applyAlignment="1">
      <alignment horizontal="center" vertical="center"/>
    </xf>
    <xf numFmtId="0" fontId="31" fillId="24" borderId="80" xfId="41" applyFont="1" applyFill="1" applyBorder="1" applyAlignment="1">
      <alignment horizontal="center" vertical="center"/>
    </xf>
    <xf numFmtId="0" fontId="31" fillId="24" borderId="81" xfId="41" applyFont="1" applyFill="1" applyBorder="1" applyAlignment="1">
      <alignment horizontal="center" vertical="center"/>
    </xf>
    <xf numFmtId="0" fontId="31" fillId="0" borderId="24" xfId="41" applyFont="1" applyBorder="1" applyAlignment="1">
      <alignment horizontal="left"/>
    </xf>
    <xf numFmtId="0" fontId="31" fillId="0" borderId="24" xfId="41" applyFont="1" applyBorder="1" applyAlignment="1">
      <alignment horizontal="left" vertical="top"/>
    </xf>
    <xf numFmtId="0" fontId="31" fillId="24" borderId="82" xfId="41" applyFont="1" applyFill="1" applyBorder="1" applyAlignment="1">
      <alignment horizontal="center" vertical="center"/>
    </xf>
    <xf numFmtId="0" fontId="31" fillId="24" borderId="83" xfId="41" applyFont="1" applyFill="1" applyBorder="1" applyAlignment="1">
      <alignment horizontal="center" vertical="center"/>
    </xf>
    <xf numFmtId="0" fontId="32" fillId="24" borderId="10" xfId="41" applyFont="1" applyFill="1" applyBorder="1" applyAlignment="1">
      <alignment horizontal="center" vertical="center" wrapText="1"/>
    </xf>
    <xf numFmtId="0" fontId="32" fillId="24" borderId="11" xfId="41" applyFont="1" applyFill="1" applyBorder="1" applyAlignment="1">
      <alignment horizontal="center" vertical="center" wrapText="1"/>
    </xf>
    <xf numFmtId="0" fontId="32" fillId="24" borderId="20" xfId="39" applyFont="1" applyFill="1" applyBorder="1" applyAlignment="1">
      <alignment horizontal="left" wrapText="1"/>
    </xf>
    <xf numFmtId="0" fontId="32" fillId="24" borderId="21" xfId="39" applyFont="1" applyFill="1" applyBorder="1" applyAlignment="1">
      <alignment horizontal="left" wrapText="1"/>
    </xf>
    <xf numFmtId="0" fontId="32" fillId="24" borderId="22" xfId="39" applyFont="1" applyFill="1" applyBorder="1" applyAlignment="1">
      <alignment horizontal="left" wrapText="1"/>
    </xf>
    <xf numFmtId="49" fontId="34" fillId="24" borderId="88" xfId="38" applyNumberFormat="1" applyFont="1" applyFill="1" applyBorder="1" applyAlignment="1">
      <alignment horizontal="left" wrapText="1"/>
    </xf>
    <xf numFmtId="49" fontId="34" fillId="24" borderId="89" xfId="38" applyNumberFormat="1" applyFont="1" applyFill="1" applyBorder="1" applyAlignment="1">
      <alignment horizontal="left" wrapText="1"/>
    </xf>
    <xf numFmtId="49" fontId="34" fillId="24" borderId="90" xfId="38" applyNumberFormat="1" applyFont="1" applyFill="1" applyBorder="1" applyAlignment="1">
      <alignment horizontal="left" wrapText="1"/>
    </xf>
    <xf numFmtId="0" fontId="32" fillId="24" borderId="68" xfId="41" applyFont="1" applyFill="1" applyBorder="1" applyAlignment="1">
      <alignment horizontal="center" vertical="center" wrapText="1"/>
    </xf>
    <xf numFmtId="0" fontId="32" fillId="24" borderId="62" xfId="41" applyFont="1" applyFill="1" applyBorder="1" applyAlignment="1">
      <alignment horizontal="center" vertical="center" wrapText="1"/>
    </xf>
    <xf numFmtId="0" fontId="32" fillId="24" borderId="63" xfId="41" applyFont="1" applyFill="1" applyBorder="1" applyAlignment="1">
      <alignment horizontal="center" vertical="center" wrapText="1"/>
    </xf>
    <xf numFmtId="0" fontId="31" fillId="24" borderId="62" xfId="39" applyFont="1" applyFill="1" applyBorder="1" applyAlignment="1">
      <alignment horizontal="center" wrapText="1"/>
    </xf>
    <xf numFmtId="0" fontId="31" fillId="24" borderId="39" xfId="39" applyFont="1" applyFill="1" applyBorder="1" applyAlignment="1">
      <alignment horizontal="center" wrapText="1"/>
    </xf>
    <xf numFmtId="0" fontId="31" fillId="24" borderId="67" xfId="39" applyFont="1" applyFill="1" applyBorder="1" applyAlignment="1">
      <alignment horizontal="center" wrapText="1"/>
    </xf>
    <xf numFmtId="0" fontId="34" fillId="24" borderId="10" xfId="39" applyFont="1" applyFill="1" applyBorder="1" applyAlignment="1">
      <alignment horizontal="center" wrapText="1"/>
    </xf>
    <xf numFmtId="0" fontId="34" fillId="24" borderId="39" xfId="39" applyFont="1" applyFill="1" applyBorder="1" applyAlignment="1">
      <alignment horizontal="center" wrapText="1"/>
    </xf>
    <xf numFmtId="14" fontId="46" fillId="0" borderId="0" xfId="0" applyNumberFormat="1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46" fillId="0" borderId="0" xfId="0" applyFont="1" applyAlignment="1">
      <alignment vertical="center" wrapText="1"/>
    </xf>
    <xf numFmtId="0" fontId="29" fillId="24" borderId="34" xfId="40" applyFont="1" applyFill="1" applyBorder="1" applyAlignment="1">
      <alignment horizontal="center" vertical="center"/>
    </xf>
    <xf numFmtId="0" fontId="41" fillId="24" borderId="34" xfId="40" applyFont="1" applyFill="1" applyBorder="1" applyAlignment="1">
      <alignment horizontal="center"/>
    </xf>
    <xf numFmtId="0" fontId="29" fillId="24" borderId="34" xfId="40" applyFont="1" applyFill="1" applyBorder="1" applyAlignment="1">
      <alignment horizontal="center"/>
    </xf>
    <xf numFmtId="14" fontId="41" fillId="24" borderId="10" xfId="40" applyNumberFormat="1" applyFont="1" applyFill="1" applyBorder="1" applyAlignment="1">
      <alignment horizontal="center" vertical="top"/>
    </xf>
    <xf numFmtId="14" fontId="41" fillId="24" borderId="39" xfId="40" applyNumberFormat="1" applyFont="1" applyFill="1" applyBorder="1" applyAlignment="1">
      <alignment horizontal="center" vertical="top"/>
    </xf>
    <xf numFmtId="14" fontId="41" fillId="24" borderId="11" xfId="40" applyNumberFormat="1" applyFont="1" applyFill="1" applyBorder="1" applyAlignment="1">
      <alignment horizontal="center" vertical="top"/>
    </xf>
    <xf numFmtId="0" fontId="41" fillId="24" borderId="34" xfId="37" applyFont="1" applyFill="1" applyBorder="1" applyAlignment="1">
      <alignment horizontal="center" vertical="top"/>
    </xf>
    <xf numFmtId="0" fontId="23" fillId="24" borderId="10" xfId="40" applyFont="1" applyFill="1" applyBorder="1" applyAlignment="1">
      <alignment horizontal="center"/>
    </xf>
    <xf numFmtId="0" fontId="46" fillId="0" borderId="0" xfId="0" applyFont="1" applyAlignment="1">
      <alignment horizontal="right" vertical="center" wrapText="1"/>
    </xf>
  </cellXfs>
  <cellStyles count="4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Functional Test Case v1.0" xfId="37" xr:uid="{00000000-0005-0000-0000-000026000000}"/>
    <cellStyle name="Normal_Sheet1" xfId="38" xr:uid="{00000000-0005-0000-0000-000027000000}"/>
    <cellStyle name="Normal_Sheet1_Template_UnitTest Case_v0.9" xfId="39" xr:uid="{00000000-0005-0000-0000-000028000000}"/>
    <cellStyle name="Normal_Template_UnitTest Case_v0.9" xfId="40" xr:uid="{00000000-0005-0000-0000-000029000000}"/>
    <cellStyle name="Normal_Template_UnitTest Case_v0.9_Template_UnitTest Case_v0.9" xfId="41" xr:uid="{00000000-0005-0000-0000-00002A000000}"/>
    <cellStyle name="Note" xfId="42" builtinId="10" customBuiltin="1"/>
    <cellStyle name="Output" xfId="43" builtinId="21" customBuiltin="1"/>
    <cellStyle name="Title" xfId="44" builtinId="15" customBuiltin="1"/>
    <cellStyle name="Total" xfId="45" builtinId="25" customBuiltin="1"/>
    <cellStyle name="Warning Text" xfId="46" builtinId="11" customBuiltin="1"/>
    <cellStyle name="標準_結合試験(AllOvertheWorld)" xfId="47" xr:uid="{00000000-0005-0000-0000-00003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Test Type</a:t>
            </a:r>
          </a:p>
        </c:rich>
      </c:tx>
      <c:layout>
        <c:manualLayout>
          <c:xMode val="edge"/>
          <c:yMode val="edge"/>
          <c:x val="0.41836741823654294"/>
          <c:y val="3.906234934918849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53061224489796"/>
          <c:y val="0.26562550664044693"/>
          <c:w val="0.39795918367346939"/>
          <c:h val="0.60937616229279001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9F3F-E144-89CB-8D3EFE81C77F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F3F-E144-89CB-8D3EFE81C77F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9F3F-E144-89CB-8D3EFE81C77F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V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Statistics!$F$16:$H$16</c:f>
              <c:numCache>
                <c:formatCode>General</c:formatCode>
                <c:ptCount val="3"/>
                <c:pt idx="0">
                  <c:v>15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3F-E144-89CB-8D3EFE81C77F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9F3F-E144-89CB-8D3EFE81C77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9F3F-E144-89CB-8D3EFE81C77F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9F3F-E144-89CB-8D3EFE81C77F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V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Statistics!$F$15:$H$15</c:f>
              <c:numCache>
                <c:formatCode>General</c:formatCode>
                <c:ptCount val="3"/>
                <c:pt idx="0">
                  <c:v>16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F3F-E144-89CB-8D3EFE81C77F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9F3F-E144-89CB-8D3EFE81C77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9F3F-E144-89CB-8D3EFE81C77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A-9F3F-E144-89CB-8D3EFE81C77F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V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F3F-E144-89CB-8D3EFE81C77F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9F3F-E144-89CB-8D3EFE81C77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9F3F-E144-89CB-8D3EFE81C77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9F3F-E144-89CB-8D3EFE81C77F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V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F3F-E144-89CB-8D3EFE81C77F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9F3F-E144-89CB-8D3EFE81C77F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9F3F-E144-89CB-8D3EFE81C77F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9F3F-E144-89CB-8D3EFE81C77F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V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Statistics!$F$16:$H$16</c:f>
              <c:numCache>
                <c:formatCode>General</c:formatCode>
                <c:ptCount val="3"/>
                <c:pt idx="0">
                  <c:v>15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F3F-E144-89CB-8D3EFE81C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548628093843211"/>
          <c:y val="0.39286919492206329"/>
          <c:w val="8.532691945929971E-2"/>
          <c:h val="0.3112341314478547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9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VN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VN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Passed Percent</a:t>
            </a:r>
          </a:p>
        </c:rich>
      </c:tx>
      <c:layout>
        <c:manualLayout>
          <c:xMode val="edge"/>
          <c:yMode val="edge"/>
          <c:x val="0.36547091315078151"/>
          <c:y val="3.952592713475582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094170403587444"/>
          <c:y val="0.28063295267908667"/>
          <c:w val="0.33856502242152464"/>
          <c:h val="0.59683909654284628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69C-0249-9A55-BD47B63131ED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69C-0249-9A55-BD47B63131ED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D69C-0249-9A55-BD47B63131ED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V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Statistics!$C$16:$E$16</c:f>
              <c:numCache>
                <c:formatCode>General</c:formatCode>
                <c:ptCount val="3"/>
                <c:pt idx="0">
                  <c:v>18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9C-0249-9A55-BD47B63131ED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D69C-0249-9A55-BD47B63131E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D69C-0249-9A55-BD47B63131ED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D69C-0249-9A55-BD47B63131ED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V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Statistics!$C$15:$E$15</c:f>
              <c:numCache>
                <c:formatCode>General</c:formatCode>
                <c:ptCount val="3"/>
                <c:pt idx="0">
                  <c:v>19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69C-0249-9A55-BD47B63131ED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D69C-0249-9A55-BD47B63131E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D69C-0249-9A55-BD47B63131E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A-D69C-0249-9A55-BD47B63131ED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V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69C-0249-9A55-BD47B63131ED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D69C-0249-9A55-BD47B63131E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D69C-0249-9A55-BD47B63131E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D69C-0249-9A55-BD47B63131ED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V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69C-0249-9A55-BD47B63131ED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D69C-0249-9A55-BD47B63131ED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D69C-0249-9A55-BD47B63131ED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D69C-0249-9A55-BD47B63131ED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V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Statistics!$C$16:$E$16</c:f>
              <c:numCache>
                <c:formatCode>General</c:formatCode>
                <c:ptCount val="3"/>
                <c:pt idx="0">
                  <c:v>18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69C-0249-9A55-BD47B6313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8211352685391933"/>
          <c:y val="0.43006609277467256"/>
          <c:w val="0.19105065225055828"/>
          <c:h val="0.2953465790869406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VN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VN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1</xdr:col>
      <xdr:colOff>751809</xdr:colOff>
      <xdr:row>1</xdr:row>
      <xdr:rowOff>787400</xdr:rowOff>
    </xdr:to>
    <xdr:pic>
      <xdr:nvPicPr>
        <xdr:cNvPr id="1062" name="Picture 1">
          <a:extLst>
            <a:ext uri="{FF2B5EF4-FFF2-40B4-BE49-F238E27FC236}">
              <a16:creationId xmlns:a16="http://schemas.microsoft.com/office/drawing/2014/main" id="{8FECF0D1-F4AC-C106-CE9C-10DC71770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0825"/>
          <a:ext cx="213360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546100</xdr:colOff>
      <xdr:row>23</xdr:row>
      <xdr:rowOff>0</xdr:rowOff>
    </xdr:from>
    <xdr:to>
      <xdr:col>9</xdr:col>
      <xdr:colOff>0</xdr:colOff>
      <xdr:row>38</xdr:row>
      <xdr:rowOff>12700</xdr:rowOff>
    </xdr:to>
    <xdr:graphicFrame macro="">
      <xdr:nvGraphicFramePr>
        <xdr:cNvPr id="2121" name="Chart 16">
          <a:extLst>
            <a:ext uri="{FF2B5EF4-FFF2-40B4-BE49-F238E27FC236}">
              <a16:creationId xmlns:a16="http://schemas.microsoft.com/office/drawing/2014/main" id="{9BB06888-0882-3D1B-8DC0-01CAC748AE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23</xdr:row>
      <xdr:rowOff>25400</xdr:rowOff>
    </xdr:from>
    <xdr:to>
      <xdr:col>3</xdr:col>
      <xdr:colOff>241300</xdr:colOff>
      <xdr:row>38</xdr:row>
      <xdr:rowOff>0</xdr:rowOff>
    </xdr:to>
    <xdr:graphicFrame macro="">
      <xdr:nvGraphicFramePr>
        <xdr:cNvPr id="2122" name="Chart 17">
          <a:extLst>
            <a:ext uri="{FF2B5EF4-FFF2-40B4-BE49-F238E27FC236}">
              <a16:creationId xmlns:a16="http://schemas.microsoft.com/office/drawing/2014/main" id="{9CB92880-13B9-F818-03D7-EB024931AD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opLeftCell="A10" zoomScale="84" zoomScaleNormal="85" workbookViewId="0">
      <selection sqref="A1:A47"/>
    </sheetView>
  </sheetViews>
  <sheetFormatPr defaultColWidth="9" defaultRowHeight="14.25"/>
  <cols>
    <col min="1" max="1" width="119.375" style="126" customWidth="1"/>
    <col min="2" max="16384" width="9" style="126"/>
  </cols>
  <sheetData>
    <row r="1" spans="1:1" s="123" customFormat="1" ht="22.5">
      <c r="A1" s="122" t="s">
        <v>105</v>
      </c>
    </row>
    <row r="2" spans="1:1" s="123" customFormat="1" ht="22.5">
      <c r="A2" s="122"/>
    </row>
    <row r="3" spans="1:1" s="124" customFormat="1" ht="18">
      <c r="A3" s="127" t="s">
        <v>132</v>
      </c>
    </row>
    <row r="4" spans="1:1" ht="15" customHeight="1">
      <c r="A4" s="130" t="s">
        <v>103</v>
      </c>
    </row>
    <row r="5" spans="1:1" ht="15" customHeight="1">
      <c r="A5" s="130" t="s">
        <v>137</v>
      </c>
    </row>
    <row r="6" spans="1:1" ht="38.25">
      <c r="A6" s="131" t="s">
        <v>152</v>
      </c>
    </row>
    <row r="7" spans="1:1" ht="29.25" customHeight="1">
      <c r="A7" s="131" t="s">
        <v>155</v>
      </c>
    </row>
    <row r="8" spans="1:1" ht="30" customHeight="1">
      <c r="A8" s="132" t="s">
        <v>139</v>
      </c>
    </row>
    <row r="9" spans="1:1" s="135" customFormat="1" ht="16.5" customHeight="1">
      <c r="A9" s="134" t="s">
        <v>153</v>
      </c>
    </row>
    <row r="10" spans="1:1" ht="16.5" customHeight="1">
      <c r="A10" s="125"/>
    </row>
    <row r="11" spans="1:1" s="124" customFormat="1" ht="18">
      <c r="A11" s="127" t="s">
        <v>104</v>
      </c>
    </row>
    <row r="12" spans="1:1" s="128" customFormat="1" ht="15">
      <c r="A12" s="133" t="s">
        <v>80</v>
      </c>
    </row>
    <row r="13" spans="1:1" ht="25.5">
      <c r="A13" s="130" t="s">
        <v>140</v>
      </c>
    </row>
    <row r="14" spans="1:1">
      <c r="A14" s="130" t="s">
        <v>141</v>
      </c>
    </row>
    <row r="15" spans="1:1">
      <c r="A15" s="131" t="s">
        <v>142</v>
      </c>
    </row>
    <row r="16" spans="1:1">
      <c r="A16" s="125"/>
    </row>
    <row r="17" spans="1:4" s="128" customFormat="1" ht="15">
      <c r="A17" s="133" t="s">
        <v>107</v>
      </c>
    </row>
    <row r="18" spans="1:4">
      <c r="A18" s="130" t="s">
        <v>108</v>
      </c>
      <c r="B18" s="125"/>
    </row>
    <row r="19" spans="1:4">
      <c r="A19" s="133" t="s">
        <v>143</v>
      </c>
    </row>
    <row r="20" spans="1:4">
      <c r="A20" s="130" t="s">
        <v>109</v>
      </c>
      <c r="B20" s="125"/>
    </row>
    <row r="21" spans="1:4" ht="25.5">
      <c r="A21" s="131" t="s">
        <v>110</v>
      </c>
    </row>
    <row r="22" spans="1:4">
      <c r="A22" s="130" t="s">
        <v>111</v>
      </c>
      <c r="B22" s="129"/>
    </row>
    <row r="23" spans="1:4">
      <c r="A23" s="130" t="s">
        <v>112</v>
      </c>
      <c r="B23" s="125"/>
    </row>
    <row r="24" spans="1:4">
      <c r="A24" s="130" t="s">
        <v>156</v>
      </c>
      <c r="B24" s="125"/>
    </row>
    <row r="25" spans="1:4">
      <c r="A25" s="130" t="s">
        <v>113</v>
      </c>
      <c r="B25" s="125"/>
      <c r="C25" s="125" t="s">
        <v>76</v>
      </c>
      <c r="D25" s="125" t="s">
        <v>76</v>
      </c>
    </row>
    <row r="26" spans="1:4">
      <c r="A26" s="130" t="s">
        <v>77</v>
      </c>
    </row>
    <row r="27" spans="1:4">
      <c r="A27" s="130" t="s">
        <v>133</v>
      </c>
      <c r="B27" s="125"/>
    </row>
    <row r="28" spans="1:4">
      <c r="A28" s="130" t="s">
        <v>134</v>
      </c>
    </row>
    <row r="29" spans="1:4">
      <c r="A29" s="130" t="s">
        <v>135</v>
      </c>
    </row>
    <row r="30" spans="1:4">
      <c r="A30" s="130" t="s">
        <v>136</v>
      </c>
      <c r="B30" s="125"/>
      <c r="C30" s="125" t="s">
        <v>76</v>
      </c>
    </row>
    <row r="31" spans="1:4">
      <c r="A31" s="133" t="s">
        <v>144</v>
      </c>
    </row>
    <row r="32" spans="1:4" ht="30" customHeight="1">
      <c r="A32" s="131" t="s">
        <v>114</v>
      </c>
    </row>
    <row r="33" spans="1:2">
      <c r="A33" s="130" t="s">
        <v>78</v>
      </c>
    </row>
    <row r="34" spans="1:2">
      <c r="A34" s="130" t="s">
        <v>115</v>
      </c>
    </row>
    <row r="35" spans="1:2">
      <c r="A35" s="130" t="s">
        <v>116</v>
      </c>
      <c r="B35" s="125"/>
    </row>
    <row r="36" spans="1:2">
      <c r="A36" s="130" t="s">
        <v>117</v>
      </c>
      <c r="B36" s="125"/>
    </row>
    <row r="37" spans="1:2">
      <c r="A37" s="133" t="s">
        <v>145</v>
      </c>
    </row>
    <row r="38" spans="1:2">
      <c r="A38" s="130" t="s">
        <v>118</v>
      </c>
    </row>
    <row r="39" spans="1:2" ht="38.25">
      <c r="A39" s="132" t="s">
        <v>138</v>
      </c>
      <c r="B39" s="125"/>
    </row>
    <row r="40" spans="1:2">
      <c r="A40" s="132"/>
      <c r="B40" s="125"/>
    </row>
    <row r="41" spans="1:2" s="128" customFormat="1" ht="15">
      <c r="A41" s="133" t="s">
        <v>119</v>
      </c>
    </row>
    <row r="42" spans="1:2">
      <c r="A42" s="130" t="s">
        <v>146</v>
      </c>
    </row>
    <row r="43" spans="1:2">
      <c r="A43" s="130" t="s">
        <v>147</v>
      </c>
    </row>
    <row r="44" spans="1:2">
      <c r="A44" s="130" t="s">
        <v>148</v>
      </c>
    </row>
    <row r="45" spans="1:2">
      <c r="A45" s="130" t="s">
        <v>149</v>
      </c>
    </row>
    <row r="46" spans="1:2">
      <c r="A46" s="130" t="s">
        <v>150</v>
      </c>
    </row>
    <row r="47" spans="1:2">
      <c r="A47" s="130" t="s">
        <v>151</v>
      </c>
    </row>
    <row r="48" spans="1:2">
      <c r="A48" s="125" t="s">
        <v>79</v>
      </c>
    </row>
    <row r="49" spans="1:1">
      <c r="A49" s="125"/>
    </row>
  </sheetData>
  <phoneticPr fontId="40"/>
  <pageMargins left="0.75" right="0.75" top="0.7" bottom="0.65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20"/>
  <sheetViews>
    <sheetView showGridLines="0" topLeftCell="A4" zoomScale="143" zoomScaleNormal="120" workbookViewId="0">
      <selection activeCell="A2" sqref="A1:A1048576"/>
    </sheetView>
  </sheetViews>
  <sheetFormatPr defaultColWidth="9" defaultRowHeight="12.75"/>
  <cols>
    <col min="1" max="1" width="18.125" style="15" customWidth="1"/>
    <col min="2" max="2" width="15" style="3" customWidth="1"/>
    <col min="3" max="3" width="24.875" style="3" bestFit="1" customWidth="1"/>
    <col min="4" max="4" width="15.375" style="3" customWidth="1"/>
    <col min="5" max="5" width="88" style="3" bestFit="1" customWidth="1"/>
    <col min="6" max="6" width="40.25" style="3" bestFit="1" customWidth="1"/>
    <col min="7" max="16384" width="9" style="3"/>
  </cols>
  <sheetData>
    <row r="2" spans="1:6" s="2" customFormat="1" ht="75.75" customHeight="1">
      <c r="A2" s="1"/>
      <c r="B2" s="247" t="s">
        <v>162</v>
      </c>
      <c r="C2" s="247"/>
      <c r="D2" s="247"/>
      <c r="E2" s="247"/>
      <c r="F2" s="247"/>
    </row>
    <row r="3" spans="1:6">
      <c r="A3" s="4"/>
      <c r="B3" s="5"/>
      <c r="E3" s="6"/>
    </row>
    <row r="4" spans="1:6" ht="14.25" customHeight="1">
      <c r="A4" s="136" t="s">
        <v>0</v>
      </c>
      <c r="B4" s="248" t="s">
        <v>164</v>
      </c>
      <c r="C4" s="248"/>
      <c r="D4" s="248"/>
      <c r="E4" s="136" t="s">
        <v>1</v>
      </c>
      <c r="F4" s="7" t="s">
        <v>163</v>
      </c>
    </row>
    <row r="5" spans="1:6" ht="14.25" customHeight="1">
      <c r="A5" s="136" t="s">
        <v>2</v>
      </c>
      <c r="B5" s="248" t="s">
        <v>165</v>
      </c>
      <c r="C5" s="248"/>
      <c r="D5" s="248"/>
      <c r="E5" s="136" t="s">
        <v>5</v>
      </c>
      <c r="F5" s="120" t="s">
        <v>167</v>
      </c>
    </row>
    <row r="6" spans="1:6" ht="15.75" customHeight="1">
      <c r="A6" s="153" t="s">
        <v>4</v>
      </c>
      <c r="B6" s="249" t="s">
        <v>166</v>
      </c>
      <c r="C6" s="250"/>
      <c r="D6" s="251"/>
      <c r="E6" s="136" t="s">
        <v>6</v>
      </c>
      <c r="F6" s="121">
        <v>1</v>
      </c>
    </row>
    <row r="7" spans="1:6">
      <c r="A7" s="137"/>
      <c r="B7" s="8"/>
      <c r="E7" s="9"/>
      <c r="F7" s="5"/>
    </row>
    <row r="8" spans="1:6">
      <c r="A8" s="3"/>
    </row>
    <row r="9" spans="1:6">
      <c r="A9" s="138" t="s">
        <v>7</v>
      </c>
    </row>
    <row r="10" spans="1:6" s="10" customFormat="1">
      <c r="A10" s="11" t="s">
        <v>8</v>
      </c>
      <c r="B10" s="12" t="s">
        <v>6</v>
      </c>
      <c r="C10" s="12" t="s">
        <v>9</v>
      </c>
      <c r="D10" s="12" t="s">
        <v>10</v>
      </c>
      <c r="E10" s="12" t="s">
        <v>11</v>
      </c>
      <c r="F10" s="13" t="s">
        <v>12</v>
      </c>
    </row>
    <row r="11" spans="1:6" s="14" customFormat="1" ht="26.25" customHeight="1">
      <c r="A11" s="356">
        <v>46027</v>
      </c>
      <c r="B11" s="357">
        <v>0.1</v>
      </c>
      <c r="C11" s="357" t="s">
        <v>168</v>
      </c>
      <c r="D11" s="357" t="s">
        <v>56</v>
      </c>
      <c r="E11" s="357" t="s">
        <v>169</v>
      </c>
      <c r="F11" s="357" t="s">
        <v>170</v>
      </c>
    </row>
    <row r="12" spans="1:6" s="14" customFormat="1" ht="21.75" customHeight="1">
      <c r="A12" s="356">
        <v>46086</v>
      </c>
      <c r="B12" s="357">
        <v>0.2</v>
      </c>
      <c r="C12" s="357" t="s">
        <v>171</v>
      </c>
      <c r="D12" s="357" t="s">
        <v>56</v>
      </c>
      <c r="E12" s="357" t="s">
        <v>172</v>
      </c>
      <c r="F12" s="357" t="s">
        <v>173</v>
      </c>
    </row>
    <row r="13" spans="1:6" s="14" customFormat="1" ht="19.5" customHeight="1">
      <c r="A13" s="356">
        <v>46147</v>
      </c>
      <c r="B13" s="357">
        <v>0.3</v>
      </c>
      <c r="C13" s="357" t="s">
        <v>174</v>
      </c>
      <c r="D13" s="357" t="s">
        <v>56</v>
      </c>
      <c r="E13" s="357" t="s">
        <v>175</v>
      </c>
      <c r="F13" s="357" t="s">
        <v>176</v>
      </c>
    </row>
    <row r="14" spans="1:6" s="14" customFormat="1" ht="21.75" customHeight="1">
      <c r="A14" s="356">
        <v>46208</v>
      </c>
      <c r="B14" s="357">
        <v>0.4</v>
      </c>
      <c r="C14" s="357" t="s">
        <v>177</v>
      </c>
      <c r="D14" s="357" t="s">
        <v>56</v>
      </c>
      <c r="E14" s="357" t="s">
        <v>178</v>
      </c>
      <c r="F14" s="357" t="s">
        <v>179</v>
      </c>
    </row>
    <row r="15" spans="1:6" s="14" customFormat="1" ht="19.5" customHeight="1">
      <c r="A15" s="356">
        <v>46300</v>
      </c>
      <c r="B15" s="357">
        <v>0.5</v>
      </c>
      <c r="C15" s="357" t="s">
        <v>180</v>
      </c>
      <c r="D15" s="357" t="s">
        <v>56</v>
      </c>
      <c r="E15" s="357" t="s">
        <v>181</v>
      </c>
      <c r="F15" s="357" t="s">
        <v>182</v>
      </c>
    </row>
    <row r="16" spans="1:6" s="14" customFormat="1" ht="21.75" customHeight="1">
      <c r="A16" s="356">
        <v>46361</v>
      </c>
      <c r="B16" s="357">
        <v>0.6</v>
      </c>
      <c r="C16" s="357" t="s">
        <v>183</v>
      </c>
      <c r="D16" s="357" t="s">
        <v>56</v>
      </c>
      <c r="E16" s="357" t="s">
        <v>184</v>
      </c>
      <c r="F16" s="357" t="s">
        <v>185</v>
      </c>
    </row>
    <row r="17" spans="1:6" s="14" customFormat="1" ht="19.5" customHeight="1">
      <c r="A17" s="357" t="s">
        <v>186</v>
      </c>
      <c r="B17" s="357">
        <v>0.7</v>
      </c>
      <c r="C17" s="357" t="s">
        <v>187</v>
      </c>
      <c r="D17" s="357" t="s">
        <v>188</v>
      </c>
      <c r="E17" s="357" t="s">
        <v>189</v>
      </c>
      <c r="F17" s="357" t="s">
        <v>190</v>
      </c>
    </row>
    <row r="18" spans="1:6" ht="28.5">
      <c r="A18" s="357" t="s">
        <v>191</v>
      </c>
      <c r="B18" s="357">
        <v>0.8</v>
      </c>
      <c r="C18" s="357" t="s">
        <v>192</v>
      </c>
      <c r="D18" s="357" t="s">
        <v>188</v>
      </c>
      <c r="E18" s="357" t="s">
        <v>193</v>
      </c>
      <c r="F18" s="357" t="s">
        <v>194</v>
      </c>
    </row>
    <row r="19" spans="1:6" ht="28.5">
      <c r="A19" s="357" t="s">
        <v>195</v>
      </c>
      <c r="B19" s="357">
        <v>0.9</v>
      </c>
      <c r="C19" s="357" t="s">
        <v>196</v>
      </c>
      <c r="D19" s="357" t="s">
        <v>188</v>
      </c>
      <c r="E19" s="357" t="s">
        <v>197</v>
      </c>
      <c r="F19" s="357" t="s">
        <v>198</v>
      </c>
    </row>
    <row r="20" spans="1:6" ht="28.5">
      <c r="A20" s="357" t="s">
        <v>199</v>
      </c>
      <c r="B20" s="357">
        <v>1</v>
      </c>
      <c r="C20" s="357" t="s">
        <v>200</v>
      </c>
      <c r="D20" s="357" t="s">
        <v>188</v>
      </c>
      <c r="E20" s="357" t="s">
        <v>201</v>
      </c>
      <c r="F20" s="357" t="s">
        <v>202</v>
      </c>
    </row>
  </sheetData>
  <mergeCells count="4">
    <mergeCell ref="B2:F2"/>
    <mergeCell ref="B4:D4"/>
    <mergeCell ref="B5:D5"/>
    <mergeCell ref="B6:D6"/>
  </mergeCells>
  <phoneticPr fontId="0" type="noConversion"/>
  <pageMargins left="0.47013888888888888" right="0.47013888888888888" top="0.5" bottom="0.35138888888888886" header="0.51180555555555562" footer="0.1701388888888889"/>
  <pageSetup paperSize="9" firstPageNumber="0" orientation="landscape" horizontalDpi="300" verticalDpi="300" r:id="rId1"/>
  <headerFooter alignWithMargins="0">
    <oddFooter>&amp;L&amp;"Tahoma,Regular"&amp;8 02ae-BM/PM/HDCV/FSOFT v2/1&amp;C&amp;"Tahoma,Regular"&amp;8Internal use&amp;R&amp;"tahomaTahoma,Regular"&amp;8&amp;P/&amp;N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30"/>
  <sheetViews>
    <sheetView topLeftCell="C1" zoomScale="120" zoomScaleNormal="100" workbookViewId="0">
      <selection activeCell="E23" sqref="E23"/>
    </sheetView>
  </sheetViews>
  <sheetFormatPr defaultColWidth="9" defaultRowHeight="12.75"/>
  <cols>
    <col min="1" max="1" width="2.875" style="36" bestFit="1" customWidth="1"/>
    <col min="2" max="2" width="28.625" style="36" customWidth="1"/>
    <col min="3" max="3" width="26.5" style="36" customWidth="1"/>
    <col min="4" max="4" width="28.125" style="17" customWidth="1"/>
    <col min="5" max="5" width="20.25" style="18" bestFit="1" customWidth="1"/>
    <col min="6" max="6" width="23.875" style="17" customWidth="1"/>
    <col min="7" max="7" width="40.625" style="17" bestFit="1" customWidth="1"/>
    <col min="8" max="8" width="27.625" style="17" bestFit="1" customWidth="1"/>
    <col min="9" max="16384" width="9" style="6"/>
  </cols>
  <sheetData>
    <row r="2" spans="1:8" ht="25.5">
      <c r="A2" s="16"/>
      <c r="B2" s="16"/>
      <c r="C2" s="16"/>
      <c r="E2" s="19" t="s">
        <v>161</v>
      </c>
      <c r="F2" s="19"/>
      <c r="G2" s="20"/>
    </row>
    <row r="3" spans="1:8" ht="13.5" customHeight="1">
      <c r="A3" s="16"/>
      <c r="B3" s="16"/>
      <c r="C3" s="16"/>
      <c r="F3" s="21"/>
      <c r="G3" s="21"/>
    </row>
    <row r="4" spans="1:8" ht="14.25" customHeight="1">
      <c r="A4" s="253" t="s">
        <v>0</v>
      </c>
      <c r="B4" s="253"/>
      <c r="C4" s="253"/>
      <c r="D4" s="253"/>
      <c r="E4" s="254" t="str">
        <f>Cover!B4</f>
        <v>Parking Building Management System</v>
      </c>
      <c r="F4" s="255"/>
      <c r="G4" s="255"/>
      <c r="H4" s="256"/>
    </row>
    <row r="5" spans="1:8" ht="14.25" customHeight="1">
      <c r="A5" s="253" t="s">
        <v>2</v>
      </c>
      <c r="B5" s="253"/>
      <c r="C5" s="253"/>
      <c r="D5" s="253"/>
      <c r="E5" s="254" t="str">
        <f>Cover!B5</f>
        <v>PBMS2026</v>
      </c>
      <c r="F5" s="255"/>
      <c r="G5" s="255"/>
      <c r="H5" s="256"/>
    </row>
    <row r="6" spans="1:8" ht="14.25" customHeight="1">
      <c r="A6" s="260" t="s">
        <v>106</v>
      </c>
      <c r="B6" s="261"/>
      <c r="C6" s="261"/>
      <c r="D6" s="262"/>
      <c r="E6" s="150">
        <v>100</v>
      </c>
      <c r="F6" s="151"/>
      <c r="G6" s="151"/>
      <c r="H6" s="152"/>
    </row>
    <row r="7" spans="1:8" s="22" customFormat="1" ht="12.75" customHeight="1">
      <c r="A7" s="252" t="s">
        <v>13</v>
      </c>
      <c r="B7" s="252"/>
      <c r="C7" s="252"/>
      <c r="D7" s="252"/>
      <c r="E7" s="257" t="s">
        <v>203</v>
      </c>
      <c r="F7" s="258"/>
      <c r="G7" s="258"/>
      <c r="H7" s="259"/>
    </row>
    <row r="8" spans="1:8">
      <c r="A8" s="23"/>
      <c r="B8" s="23"/>
      <c r="C8" s="23"/>
      <c r="D8" s="6"/>
      <c r="E8" s="22"/>
      <c r="F8" s="6"/>
      <c r="G8" s="6"/>
      <c r="H8" s="6"/>
    </row>
    <row r="9" spans="1:8" s="27" customFormat="1">
      <c r="A9" s="24"/>
      <c r="B9" s="24"/>
      <c r="C9" s="24"/>
      <c r="D9" s="25"/>
      <c r="E9" s="26"/>
      <c r="F9" s="25"/>
      <c r="G9" s="25"/>
      <c r="H9" s="25"/>
    </row>
    <row r="10" spans="1:8" s="35" customFormat="1" ht="24" customHeight="1">
      <c r="A10" s="28" t="s">
        <v>14</v>
      </c>
      <c r="B10" s="29" t="s">
        <v>15</v>
      </c>
      <c r="C10" s="30" t="s">
        <v>16</v>
      </c>
      <c r="D10" s="31" t="s">
        <v>17</v>
      </c>
      <c r="E10" s="32" t="s">
        <v>131</v>
      </c>
      <c r="F10" s="31" t="s">
        <v>18</v>
      </c>
      <c r="G10" s="33" t="s">
        <v>19</v>
      </c>
      <c r="H10" s="34" t="s">
        <v>20</v>
      </c>
    </row>
    <row r="11" spans="1:8" ht="28.5">
      <c r="A11" s="358">
        <v>1</v>
      </c>
      <c r="B11" s="358" t="s">
        <v>204</v>
      </c>
      <c r="C11" s="358" t="s">
        <v>205</v>
      </c>
      <c r="D11" s="358" t="s">
        <v>206</v>
      </c>
      <c r="E11" s="358" t="s">
        <v>207</v>
      </c>
      <c r="F11" s="358" t="s">
        <v>208</v>
      </c>
      <c r="G11" s="358" t="s">
        <v>209</v>
      </c>
      <c r="H11" s="358" t="s">
        <v>210</v>
      </c>
    </row>
    <row r="12" spans="1:8" ht="28.5">
      <c r="A12" s="358">
        <v>2</v>
      </c>
      <c r="B12" s="358" t="s">
        <v>204</v>
      </c>
      <c r="C12" s="358" t="s">
        <v>205</v>
      </c>
      <c r="D12" s="358" t="s">
        <v>211</v>
      </c>
      <c r="E12" s="358" t="s">
        <v>212</v>
      </c>
      <c r="F12" s="358" t="s">
        <v>213</v>
      </c>
      <c r="G12" s="358" t="s">
        <v>214</v>
      </c>
      <c r="H12" s="358" t="s">
        <v>215</v>
      </c>
    </row>
    <row r="13" spans="1:8" ht="28.5">
      <c r="A13" s="358">
        <v>3</v>
      </c>
      <c r="B13" s="358" t="s">
        <v>216</v>
      </c>
      <c r="C13" s="358" t="s">
        <v>217</v>
      </c>
      <c r="D13" s="358" t="s">
        <v>218</v>
      </c>
      <c r="E13" s="358" t="s">
        <v>219</v>
      </c>
      <c r="F13" s="358" t="s">
        <v>220</v>
      </c>
      <c r="G13" s="358" t="s">
        <v>221</v>
      </c>
      <c r="H13" s="358" t="s">
        <v>222</v>
      </c>
    </row>
    <row r="14" spans="1:8" ht="28.5">
      <c r="A14" s="358">
        <v>4</v>
      </c>
      <c r="B14" s="358" t="s">
        <v>174</v>
      </c>
      <c r="C14" s="358" t="s">
        <v>223</v>
      </c>
      <c r="D14" s="358" t="s">
        <v>224</v>
      </c>
      <c r="E14" s="358" t="s">
        <v>225</v>
      </c>
      <c r="F14" s="358" t="s">
        <v>226</v>
      </c>
      <c r="G14" s="358" t="s">
        <v>227</v>
      </c>
      <c r="H14" s="358" t="s">
        <v>228</v>
      </c>
    </row>
    <row r="15" spans="1:8" ht="28.5">
      <c r="A15" s="358">
        <v>5</v>
      </c>
      <c r="B15" s="358" t="s">
        <v>174</v>
      </c>
      <c r="C15" s="358" t="s">
        <v>223</v>
      </c>
      <c r="D15" s="358" t="s">
        <v>229</v>
      </c>
      <c r="E15" s="358" t="s">
        <v>230</v>
      </c>
      <c r="F15" s="358" t="s">
        <v>231</v>
      </c>
      <c r="G15" s="358" t="s">
        <v>232</v>
      </c>
      <c r="H15" s="358" t="s">
        <v>233</v>
      </c>
    </row>
    <row r="16" spans="1:8" ht="28.5">
      <c r="A16" s="358">
        <v>6</v>
      </c>
      <c r="B16" s="358" t="s">
        <v>234</v>
      </c>
      <c r="C16" s="358" t="s">
        <v>235</v>
      </c>
      <c r="D16" s="358" t="s">
        <v>236</v>
      </c>
      <c r="E16" s="358" t="s">
        <v>237</v>
      </c>
      <c r="F16" s="358" t="s">
        <v>238</v>
      </c>
      <c r="G16" s="358" t="s">
        <v>239</v>
      </c>
      <c r="H16" s="358" t="s">
        <v>240</v>
      </c>
    </row>
    <row r="17" spans="1:8" ht="28.5">
      <c r="A17" s="358">
        <v>7</v>
      </c>
      <c r="B17" s="358" t="s">
        <v>241</v>
      </c>
      <c r="C17" s="358" t="s">
        <v>242</v>
      </c>
      <c r="D17" s="358" t="s">
        <v>243</v>
      </c>
      <c r="E17" s="358" t="s">
        <v>244</v>
      </c>
      <c r="F17" s="358" t="s">
        <v>245</v>
      </c>
      <c r="G17" s="358" t="s">
        <v>246</v>
      </c>
      <c r="H17" s="358" t="s">
        <v>247</v>
      </c>
    </row>
    <row r="18" spans="1:8" ht="28.5">
      <c r="A18" s="358">
        <v>8</v>
      </c>
      <c r="B18" s="358" t="s">
        <v>248</v>
      </c>
      <c r="C18" s="358" t="s">
        <v>249</v>
      </c>
      <c r="D18" s="358" t="s">
        <v>250</v>
      </c>
      <c r="E18" s="358" t="s">
        <v>251</v>
      </c>
      <c r="F18" s="358" t="s">
        <v>252</v>
      </c>
      <c r="G18" s="358" t="s">
        <v>253</v>
      </c>
      <c r="H18" s="358" t="s">
        <v>254</v>
      </c>
    </row>
    <row r="19" spans="1:8" ht="28.5">
      <c r="A19" s="358">
        <v>9</v>
      </c>
      <c r="B19" s="358" t="s">
        <v>255</v>
      </c>
      <c r="C19" s="358" t="s">
        <v>256</v>
      </c>
      <c r="D19" s="358" t="s">
        <v>257</v>
      </c>
      <c r="E19" s="358" t="s">
        <v>258</v>
      </c>
      <c r="F19" s="358" t="s">
        <v>259</v>
      </c>
      <c r="G19" s="358" t="s">
        <v>260</v>
      </c>
      <c r="H19" s="358" t="s">
        <v>261</v>
      </c>
    </row>
    <row r="20" spans="1:8" ht="28.5">
      <c r="A20" s="358">
        <v>10</v>
      </c>
      <c r="B20" s="358" t="s">
        <v>262</v>
      </c>
      <c r="C20" s="358" t="s">
        <v>263</v>
      </c>
      <c r="D20" s="358" t="s">
        <v>264</v>
      </c>
      <c r="E20" s="358" t="s">
        <v>265</v>
      </c>
      <c r="F20" s="358" t="s">
        <v>266</v>
      </c>
      <c r="G20" s="358" t="s">
        <v>267</v>
      </c>
      <c r="H20" s="358" t="s">
        <v>268</v>
      </c>
    </row>
    <row r="21" spans="1:8" ht="28.5">
      <c r="A21" s="358">
        <v>11</v>
      </c>
      <c r="B21" s="358" t="s">
        <v>262</v>
      </c>
      <c r="C21" s="358" t="s">
        <v>263</v>
      </c>
      <c r="D21" s="358" t="s">
        <v>269</v>
      </c>
      <c r="E21" s="358" t="s">
        <v>270</v>
      </c>
      <c r="F21" s="358" t="s">
        <v>271</v>
      </c>
      <c r="G21" s="358" t="s">
        <v>272</v>
      </c>
      <c r="H21" s="358" t="s">
        <v>273</v>
      </c>
    </row>
    <row r="22" spans="1:8" ht="28.5">
      <c r="A22" s="358">
        <v>12</v>
      </c>
      <c r="B22" s="358" t="s">
        <v>274</v>
      </c>
      <c r="C22" s="358" t="s">
        <v>275</v>
      </c>
      <c r="D22" s="358" t="s">
        <v>276</v>
      </c>
      <c r="E22" s="358" t="s">
        <v>277</v>
      </c>
      <c r="F22" s="358" t="s">
        <v>278</v>
      </c>
      <c r="G22" s="358" t="s">
        <v>279</v>
      </c>
      <c r="H22" s="358" t="s">
        <v>280</v>
      </c>
    </row>
    <row r="23" spans="1:8" ht="28.5">
      <c r="A23" s="358">
        <v>13</v>
      </c>
      <c r="B23" s="358" t="s">
        <v>281</v>
      </c>
      <c r="C23" s="358" t="s">
        <v>282</v>
      </c>
      <c r="D23" s="358" t="s">
        <v>283</v>
      </c>
      <c r="E23" s="358" t="s">
        <v>284</v>
      </c>
      <c r="F23" s="358" t="s">
        <v>285</v>
      </c>
      <c r="G23" s="358" t="s">
        <v>286</v>
      </c>
      <c r="H23" s="358" t="s">
        <v>287</v>
      </c>
    </row>
    <row r="24" spans="1:8" ht="28.5">
      <c r="A24" s="358">
        <v>14</v>
      </c>
      <c r="B24" s="358" t="s">
        <v>183</v>
      </c>
      <c r="C24" s="358" t="s">
        <v>288</v>
      </c>
      <c r="D24" s="358" t="s">
        <v>289</v>
      </c>
      <c r="E24" s="358" t="s">
        <v>290</v>
      </c>
      <c r="F24" s="358" t="s">
        <v>291</v>
      </c>
      <c r="G24" s="358" t="s">
        <v>292</v>
      </c>
      <c r="H24" s="358" t="s">
        <v>293</v>
      </c>
    </row>
    <row r="25" spans="1:8" ht="28.5">
      <c r="A25" s="358">
        <v>15</v>
      </c>
      <c r="B25" s="358" t="s">
        <v>294</v>
      </c>
      <c r="C25" s="358" t="s">
        <v>295</v>
      </c>
      <c r="D25" s="358" t="s">
        <v>296</v>
      </c>
      <c r="E25" s="358" t="s">
        <v>297</v>
      </c>
      <c r="F25" s="358" t="s">
        <v>298</v>
      </c>
      <c r="G25" s="358" t="s">
        <v>299</v>
      </c>
      <c r="H25" s="358" t="s">
        <v>300</v>
      </c>
    </row>
    <row r="26" spans="1:8" ht="28.5">
      <c r="A26" s="358">
        <v>16</v>
      </c>
      <c r="B26" s="358" t="s">
        <v>301</v>
      </c>
      <c r="C26" s="358" t="s">
        <v>302</v>
      </c>
      <c r="D26" s="358" t="s">
        <v>303</v>
      </c>
      <c r="E26" s="358" t="s">
        <v>304</v>
      </c>
      <c r="F26" s="358" t="s">
        <v>305</v>
      </c>
      <c r="G26" s="358" t="s">
        <v>306</v>
      </c>
      <c r="H26" s="358" t="s">
        <v>307</v>
      </c>
    </row>
    <row r="27" spans="1:8" ht="42.75">
      <c r="A27" s="358">
        <v>17</v>
      </c>
      <c r="B27" s="358" t="s">
        <v>187</v>
      </c>
      <c r="C27" s="358" t="s">
        <v>308</v>
      </c>
      <c r="D27" s="358" t="s">
        <v>309</v>
      </c>
      <c r="E27" s="358" t="s">
        <v>310</v>
      </c>
      <c r="F27" s="358" t="s">
        <v>311</v>
      </c>
      <c r="G27" s="358" t="s">
        <v>312</v>
      </c>
      <c r="H27" s="358" t="s">
        <v>313</v>
      </c>
    </row>
    <row r="28" spans="1:8" ht="28.5">
      <c r="A28" s="358">
        <v>18</v>
      </c>
      <c r="B28" s="358" t="s">
        <v>314</v>
      </c>
      <c r="C28" s="358" t="s">
        <v>315</v>
      </c>
      <c r="D28" s="358" t="s">
        <v>316</v>
      </c>
      <c r="E28" s="358" t="s">
        <v>317</v>
      </c>
      <c r="F28" s="358" t="s">
        <v>318</v>
      </c>
      <c r="G28" s="358" t="s">
        <v>319</v>
      </c>
      <c r="H28" s="358" t="s">
        <v>320</v>
      </c>
    </row>
    <row r="29" spans="1:8" ht="28.5">
      <c r="A29" s="358">
        <v>19</v>
      </c>
      <c r="B29" s="358" t="s">
        <v>321</v>
      </c>
      <c r="C29" s="358" t="s">
        <v>322</v>
      </c>
      <c r="D29" s="358" t="s">
        <v>323</v>
      </c>
      <c r="E29" s="358" t="s">
        <v>324</v>
      </c>
      <c r="F29" s="358" t="s">
        <v>325</v>
      </c>
      <c r="G29" s="358" t="s">
        <v>326</v>
      </c>
      <c r="H29" s="358" t="s">
        <v>327</v>
      </c>
    </row>
    <row r="30" spans="1:8" ht="28.5">
      <c r="A30" s="358">
        <v>20</v>
      </c>
      <c r="B30" s="358" t="s">
        <v>328</v>
      </c>
      <c r="C30" s="358" t="s">
        <v>329</v>
      </c>
      <c r="D30" s="358" t="s">
        <v>330</v>
      </c>
      <c r="E30" s="358" t="s">
        <v>331</v>
      </c>
      <c r="F30" s="358" t="s">
        <v>332</v>
      </c>
      <c r="G30" s="358" t="s">
        <v>333</v>
      </c>
      <c r="H30" s="358" t="s">
        <v>334</v>
      </c>
    </row>
  </sheetData>
  <mergeCells count="7">
    <mergeCell ref="A7:D7"/>
    <mergeCell ref="A4:D4"/>
    <mergeCell ref="A5:D5"/>
    <mergeCell ref="E4:H4"/>
    <mergeCell ref="E5:H5"/>
    <mergeCell ref="E7:H7"/>
    <mergeCell ref="A6:D6"/>
  </mergeCells>
  <phoneticPr fontId="0" type="noConversion"/>
  <pageMargins left="0.65" right="0.65" top="0.75" bottom="0.75" header="0.5" footer="0.5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22"/>
  <sheetViews>
    <sheetView tabSelected="1" zoomScale="127" workbookViewId="0">
      <selection activeCell="J43" sqref="J43"/>
    </sheetView>
  </sheetViews>
  <sheetFormatPr defaultColWidth="9" defaultRowHeight="12.75"/>
  <cols>
    <col min="1" max="1" width="15.375" style="6" customWidth="1"/>
    <col min="2" max="2" width="26.625" style="6" customWidth="1"/>
    <col min="3" max="3" width="12.125" style="6" customWidth="1"/>
    <col min="4" max="4" width="9.625" style="6" customWidth="1"/>
    <col min="5" max="5" width="9.875" style="6" customWidth="1"/>
    <col min="6" max="8" width="5.125" style="6" customWidth="1"/>
    <col min="9" max="9" width="21" style="6" customWidth="1"/>
    <col min="10" max="10" width="33.125" style="6" customWidth="1"/>
    <col min="11" max="16384" width="9" style="6"/>
  </cols>
  <sheetData>
    <row r="2" spans="1:9" ht="25.5" customHeight="1">
      <c r="A2" s="243" t="s">
        <v>21</v>
      </c>
      <c r="B2" s="243"/>
      <c r="C2" s="243"/>
      <c r="D2" s="243"/>
      <c r="E2" s="243"/>
      <c r="F2" s="243"/>
      <c r="G2" s="243"/>
      <c r="H2" s="243"/>
      <c r="I2" s="243"/>
    </row>
    <row r="3" spans="1:9" ht="14.25" customHeight="1">
      <c r="A3" s="37"/>
      <c r="B3" s="38"/>
      <c r="C3" s="38"/>
      <c r="D3" s="38"/>
      <c r="E3" s="38"/>
      <c r="F3" s="38"/>
      <c r="G3" s="38"/>
      <c r="H3" s="38"/>
      <c r="I3" s="39"/>
    </row>
    <row r="4" spans="1:9" ht="13.5" customHeight="1">
      <c r="A4" s="359" t="s">
        <v>0</v>
      </c>
      <c r="B4" s="360" t="str">
        <f>Cover!B4</f>
        <v>Parking Building Management System</v>
      </c>
      <c r="C4" s="360"/>
      <c r="D4" s="361" t="s">
        <v>1</v>
      </c>
      <c r="E4" s="361"/>
      <c r="F4" s="366" t="s">
        <v>163</v>
      </c>
      <c r="G4" s="245"/>
      <c r="H4" s="245"/>
      <c r="I4" s="246"/>
    </row>
    <row r="5" spans="1:9" ht="13.5" customHeight="1">
      <c r="A5" s="359" t="s">
        <v>2</v>
      </c>
      <c r="B5" s="360" t="str">
        <f>Cover!B5</f>
        <v>PBMS2026</v>
      </c>
      <c r="C5" s="360"/>
      <c r="D5" s="361" t="s">
        <v>3</v>
      </c>
      <c r="E5" s="361"/>
      <c r="F5" s="244" t="s">
        <v>337</v>
      </c>
      <c r="G5" s="245"/>
      <c r="H5" s="245"/>
      <c r="I5" s="246"/>
    </row>
    <row r="6" spans="1:9" ht="12.75" customHeight="1">
      <c r="A6" s="359" t="s">
        <v>4</v>
      </c>
      <c r="B6" s="360" t="s">
        <v>335</v>
      </c>
      <c r="C6" s="360"/>
      <c r="D6" s="361" t="s">
        <v>5</v>
      </c>
      <c r="E6" s="361"/>
      <c r="F6" s="362" t="s">
        <v>167</v>
      </c>
      <c r="G6" s="363"/>
      <c r="H6" s="363"/>
      <c r="I6" s="364"/>
    </row>
    <row r="7" spans="1:9" ht="15.75" customHeight="1">
      <c r="A7" s="359" t="s">
        <v>22</v>
      </c>
      <c r="B7" s="365" t="s">
        <v>336</v>
      </c>
      <c r="C7" s="365"/>
      <c r="D7" s="365"/>
      <c r="E7" s="365"/>
      <c r="F7" s="365"/>
      <c r="G7" s="365"/>
      <c r="H7" s="365"/>
      <c r="I7" s="365"/>
    </row>
    <row r="8" spans="1:9" ht="14.25" customHeight="1">
      <c r="A8" s="40"/>
      <c r="B8" s="41"/>
      <c r="C8" s="38"/>
      <c r="D8" s="38"/>
      <c r="E8" s="38"/>
      <c r="F8" s="38"/>
      <c r="G8" s="38"/>
      <c r="H8" s="38"/>
      <c r="I8" s="39"/>
    </row>
    <row r="9" spans="1:9">
      <c r="A9" s="40"/>
      <c r="B9" s="41"/>
      <c r="C9" s="38"/>
      <c r="D9" s="38"/>
      <c r="E9" s="38"/>
      <c r="F9" s="38"/>
      <c r="G9" s="38"/>
      <c r="H9" s="38"/>
      <c r="I9" s="39"/>
    </row>
    <row r="11" spans="1:9" ht="14.25" customHeight="1">
      <c r="A11" s="42" t="s">
        <v>14</v>
      </c>
      <c r="B11" s="43" t="s">
        <v>154</v>
      </c>
      <c r="C11" s="44" t="s">
        <v>23</v>
      </c>
      <c r="D11" s="43" t="s">
        <v>24</v>
      </c>
      <c r="E11" s="45" t="s">
        <v>25</v>
      </c>
      <c r="F11" s="45" t="s">
        <v>54</v>
      </c>
      <c r="G11" s="45" t="s">
        <v>56</v>
      </c>
      <c r="H11" s="45" t="s">
        <v>55</v>
      </c>
      <c r="I11" s="46" t="s">
        <v>26</v>
      </c>
    </row>
    <row r="12" spans="1:9" ht="14.25">
      <c r="A12" s="358">
        <v>1</v>
      </c>
      <c r="B12" s="358" t="s">
        <v>207</v>
      </c>
      <c r="C12" s="367">
        <v>18</v>
      </c>
      <c r="D12" s="367">
        <v>1</v>
      </c>
      <c r="E12" s="367">
        <v>1</v>
      </c>
      <c r="F12" s="367">
        <v>15</v>
      </c>
      <c r="G12" s="367">
        <v>3</v>
      </c>
      <c r="H12" s="367">
        <v>2</v>
      </c>
      <c r="I12" s="367">
        <v>20</v>
      </c>
    </row>
    <row r="13" spans="1:9" ht="14.25">
      <c r="A13" s="358">
        <v>2</v>
      </c>
      <c r="B13" s="358" t="s">
        <v>225</v>
      </c>
      <c r="C13" s="367">
        <v>14</v>
      </c>
      <c r="D13" s="367">
        <v>2</v>
      </c>
      <c r="E13" s="367">
        <v>0</v>
      </c>
      <c r="F13" s="367">
        <v>12</v>
      </c>
      <c r="G13" s="367">
        <v>2</v>
      </c>
      <c r="H13" s="367">
        <v>2</v>
      </c>
      <c r="I13" s="367">
        <v>16</v>
      </c>
    </row>
    <row r="14" spans="1:9" ht="14.25">
      <c r="A14" s="358">
        <v>3</v>
      </c>
      <c r="B14" s="358" t="s">
        <v>237</v>
      </c>
      <c r="C14" s="367">
        <v>17</v>
      </c>
      <c r="D14" s="367">
        <v>1</v>
      </c>
      <c r="E14" s="367">
        <v>0</v>
      </c>
      <c r="F14" s="367">
        <v>14</v>
      </c>
      <c r="G14" s="367">
        <v>2</v>
      </c>
      <c r="H14" s="367">
        <v>2</v>
      </c>
      <c r="I14" s="367">
        <v>18</v>
      </c>
    </row>
    <row r="15" spans="1:9" ht="14.25">
      <c r="A15" s="358">
        <v>4</v>
      </c>
      <c r="B15" s="358" t="s">
        <v>251</v>
      </c>
      <c r="C15" s="367">
        <v>19</v>
      </c>
      <c r="D15" s="367">
        <v>1</v>
      </c>
      <c r="E15" s="367">
        <v>0</v>
      </c>
      <c r="F15" s="367">
        <v>16</v>
      </c>
      <c r="G15" s="367">
        <v>2</v>
      </c>
      <c r="H15" s="367">
        <v>2</v>
      </c>
      <c r="I15" s="367">
        <v>20</v>
      </c>
    </row>
    <row r="16" spans="1:9" ht="14.25">
      <c r="A16" s="358">
        <v>5</v>
      </c>
      <c r="B16" s="358" t="s">
        <v>258</v>
      </c>
      <c r="C16" s="367">
        <v>18</v>
      </c>
      <c r="D16" s="367">
        <v>1</v>
      </c>
      <c r="E16" s="367">
        <v>1</v>
      </c>
      <c r="F16" s="367">
        <v>15</v>
      </c>
      <c r="G16" s="367">
        <v>3</v>
      </c>
      <c r="H16" s="367">
        <v>2</v>
      </c>
      <c r="I16" s="367">
        <v>20</v>
      </c>
    </row>
    <row r="17" spans="1:9" ht="14.25">
      <c r="A17" s="358">
        <v>6</v>
      </c>
      <c r="B17" s="358" t="s">
        <v>265</v>
      </c>
      <c r="C17" s="367">
        <v>16</v>
      </c>
      <c r="D17" s="367">
        <v>2</v>
      </c>
      <c r="E17" s="367">
        <v>0</v>
      </c>
      <c r="F17" s="367">
        <v>13</v>
      </c>
      <c r="G17" s="367">
        <v>3</v>
      </c>
      <c r="H17" s="367">
        <v>2</v>
      </c>
      <c r="I17" s="367">
        <v>18</v>
      </c>
    </row>
    <row r="18" spans="1:9" ht="14.25">
      <c r="A18" s="358">
        <v>7</v>
      </c>
      <c r="B18" s="358" t="s">
        <v>277</v>
      </c>
      <c r="C18" s="367">
        <v>15</v>
      </c>
      <c r="D18" s="367">
        <v>1</v>
      </c>
      <c r="E18" s="367">
        <v>0</v>
      </c>
      <c r="F18" s="367">
        <v>12</v>
      </c>
      <c r="G18" s="367">
        <v>2</v>
      </c>
      <c r="H18" s="367">
        <v>2</v>
      </c>
      <c r="I18" s="367">
        <v>16</v>
      </c>
    </row>
    <row r="19" spans="1:9" ht="14.25">
      <c r="A19" s="358">
        <v>8</v>
      </c>
      <c r="B19" s="358" t="s">
        <v>284</v>
      </c>
      <c r="C19" s="367">
        <v>13</v>
      </c>
      <c r="D19" s="367">
        <v>1</v>
      </c>
      <c r="E19" s="367">
        <v>1</v>
      </c>
      <c r="F19" s="367">
        <v>10</v>
      </c>
      <c r="G19" s="367">
        <v>2</v>
      </c>
      <c r="H19" s="367">
        <v>3</v>
      </c>
      <c r="I19" s="367">
        <v>15</v>
      </c>
    </row>
    <row r="20" spans="1:9" ht="14.25">
      <c r="A20" s="358">
        <v>9</v>
      </c>
      <c r="B20" s="358" t="s">
        <v>310</v>
      </c>
      <c r="C20" s="367">
        <v>17</v>
      </c>
      <c r="D20" s="367">
        <v>0</v>
      </c>
      <c r="E20" s="367">
        <v>1</v>
      </c>
      <c r="F20" s="367">
        <v>13</v>
      </c>
      <c r="G20" s="367">
        <v>3</v>
      </c>
      <c r="H20" s="367">
        <v>2</v>
      </c>
      <c r="I20" s="367">
        <v>18</v>
      </c>
    </row>
    <row r="21" spans="1:9" ht="14.25">
      <c r="A21" s="358">
        <v>10</v>
      </c>
      <c r="B21" s="358" t="s">
        <v>317</v>
      </c>
      <c r="C21" s="367">
        <v>14</v>
      </c>
      <c r="D21" s="367">
        <v>2</v>
      </c>
      <c r="E21" s="367">
        <v>0</v>
      </c>
      <c r="F21" s="367">
        <v>11</v>
      </c>
      <c r="G21" s="367">
        <v>3</v>
      </c>
      <c r="H21" s="367">
        <v>2</v>
      </c>
      <c r="I21" s="367">
        <v>16</v>
      </c>
    </row>
    <row r="22" spans="1:9">
      <c r="B22" s="154" t="s">
        <v>28</v>
      </c>
      <c r="D22" s="155">
        <f>H16*100/I16</f>
        <v>10</v>
      </c>
      <c r="E22" s="6" t="s">
        <v>27</v>
      </c>
    </row>
  </sheetData>
  <mergeCells count="11">
    <mergeCell ref="F6:I6"/>
    <mergeCell ref="B6:C6"/>
    <mergeCell ref="D6:E6"/>
    <mergeCell ref="B7:I7"/>
    <mergeCell ref="A2:I2"/>
    <mergeCell ref="B4:C4"/>
    <mergeCell ref="D4:E4"/>
    <mergeCell ref="B5:C5"/>
    <mergeCell ref="D5:E5"/>
    <mergeCell ref="F4:I4"/>
    <mergeCell ref="F5:I5"/>
  </mergeCells>
  <phoneticPr fontId="0" type="noConversion"/>
  <pageMargins left="0.65" right="0.65" top="0.75" bottom="0.75" header="0.5" footer="0.5"/>
  <pageSetup firstPageNumber="0" orientation="landscape" horizontalDpi="300" verticalDpi="300"/>
  <headerFooter alignWithMargins="0">
    <oddFooter>&amp;L&amp;"Tahoma,Regular"&amp;8 02ae-BM/PM/HDCV/FSOFT v2/1&amp;C&amp;"Tahoma,Regular"&amp;8Internal use&amp;R&amp;"Tahoma,Regular"&amp;8&amp;P/&amp;N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43"/>
  <sheetViews>
    <sheetView zoomScale="84" workbookViewId="0">
      <pane ySplit="9" topLeftCell="A18" activePane="bottomLeft" state="frozen"/>
      <selection pane="bottomLeft" activeCell="G9" sqref="G9"/>
    </sheetView>
  </sheetViews>
  <sheetFormatPr defaultColWidth="9" defaultRowHeight="13.5" customHeight="1"/>
  <cols>
    <col min="1" max="1" width="8.125" style="49" customWidth="1"/>
    <col min="2" max="2" width="13.375" style="53" customWidth="1"/>
    <col min="3" max="3" width="10.875" style="49" customWidth="1"/>
    <col min="4" max="4" width="11.375" style="50" customWidth="1"/>
    <col min="5" max="5" width="1.875" style="49" hidden="1" customWidth="1"/>
    <col min="6" max="7" width="2.875" style="49" bestFit="1" customWidth="1"/>
    <col min="8" max="8" width="2.875" style="49" customWidth="1"/>
    <col min="9" max="10" width="2.875" style="49" bestFit="1" customWidth="1"/>
    <col min="11" max="15" width="2.875" style="49" customWidth="1"/>
    <col min="16" max="16" width="9.875" style="49" customWidth="1"/>
    <col min="17" max="19" width="2.875" style="49" customWidth="1"/>
    <col min="20" max="20" width="2.875" style="49" bestFit="1" customWidth="1"/>
    <col min="21" max="21" width="2.875" style="49" customWidth="1"/>
    <col min="22" max="16384" width="9" style="49"/>
  </cols>
  <sheetData>
    <row r="1" spans="1:22" ht="13.5" customHeight="1" thickBot="1">
      <c r="A1" s="47"/>
      <c r="B1" s="48"/>
    </row>
    <row r="2" spans="1:22" ht="13.5" customHeight="1">
      <c r="A2" s="294" t="s">
        <v>88</v>
      </c>
      <c r="B2" s="295"/>
      <c r="C2" s="296" t="s">
        <v>207</v>
      </c>
      <c r="D2" s="297"/>
      <c r="E2" s="298"/>
      <c r="F2" s="299" t="s">
        <v>17</v>
      </c>
      <c r="G2" s="300"/>
      <c r="H2" s="300"/>
      <c r="I2" s="300"/>
      <c r="J2" s="300"/>
      <c r="K2" s="300"/>
      <c r="L2" s="266" t="s">
        <v>206</v>
      </c>
      <c r="M2" s="267"/>
      <c r="N2" s="267"/>
      <c r="O2" s="267"/>
      <c r="P2" s="267"/>
      <c r="Q2" s="267"/>
      <c r="R2" s="267"/>
      <c r="S2" s="267"/>
      <c r="T2" s="268"/>
      <c r="V2" s="51"/>
    </row>
    <row r="3" spans="1:22" ht="13.5" customHeight="1">
      <c r="A3" s="287" t="s">
        <v>89</v>
      </c>
      <c r="B3" s="288"/>
      <c r="C3" s="282" t="s">
        <v>163</v>
      </c>
      <c r="D3" s="269"/>
      <c r="E3" s="283"/>
      <c r="F3" s="272" t="s">
        <v>90</v>
      </c>
      <c r="G3" s="273"/>
      <c r="H3" s="273"/>
      <c r="I3" s="273"/>
      <c r="J3" s="273"/>
      <c r="K3" s="274"/>
      <c r="L3" s="269"/>
      <c r="M3" s="269"/>
      <c r="N3" s="269"/>
      <c r="O3" s="145"/>
      <c r="P3" s="145" t="s">
        <v>339</v>
      </c>
      <c r="Q3" s="145"/>
      <c r="R3" s="145"/>
      <c r="S3" s="145"/>
      <c r="T3" s="146"/>
    </row>
    <row r="4" spans="1:22" ht="13.5" customHeight="1">
      <c r="A4" s="287" t="s">
        <v>91</v>
      </c>
      <c r="B4" s="288"/>
      <c r="C4" s="306">
        <v>100</v>
      </c>
      <c r="D4" s="307"/>
      <c r="E4" s="156"/>
      <c r="F4" s="272" t="s">
        <v>92</v>
      </c>
      <c r="G4" s="273"/>
      <c r="H4" s="273"/>
      <c r="I4" s="273"/>
      <c r="J4" s="273"/>
      <c r="K4" s="274"/>
      <c r="L4" s="275">
        <f xml:space="preserve"> IF(Functions!E6&lt;&gt;"N/A",SUM(C4*Functions!E6/1000,- O7),"N/A")</f>
        <v>-5</v>
      </c>
      <c r="M4" s="276"/>
      <c r="N4" s="276"/>
      <c r="O4" s="276"/>
      <c r="P4" s="276"/>
      <c r="Q4" s="276"/>
      <c r="R4" s="276"/>
      <c r="S4" s="276"/>
      <c r="T4" s="277"/>
      <c r="V4" s="51"/>
    </row>
    <row r="5" spans="1:22" ht="13.5" customHeight="1">
      <c r="A5" s="287" t="s">
        <v>93</v>
      </c>
      <c r="B5" s="288"/>
      <c r="C5" s="289" t="s">
        <v>338</v>
      </c>
      <c r="D5" s="289"/>
      <c r="E5" s="289"/>
      <c r="F5" s="290"/>
      <c r="G5" s="290"/>
      <c r="H5" s="290"/>
      <c r="I5" s="290"/>
      <c r="J5" s="290"/>
      <c r="K5" s="290"/>
      <c r="L5" s="289"/>
      <c r="M5" s="289"/>
      <c r="N5" s="289"/>
      <c r="O5" s="289"/>
      <c r="P5" s="289"/>
      <c r="Q5" s="289"/>
      <c r="R5" s="289"/>
      <c r="S5" s="289"/>
      <c r="T5" s="289"/>
    </row>
    <row r="6" spans="1:22" ht="13.5" customHeight="1">
      <c r="A6" s="285" t="s">
        <v>23</v>
      </c>
      <c r="B6" s="286"/>
      <c r="C6" s="270" t="s">
        <v>24</v>
      </c>
      <c r="D6" s="264"/>
      <c r="E6" s="271"/>
      <c r="F6" s="270" t="s">
        <v>25</v>
      </c>
      <c r="G6" s="264"/>
      <c r="H6" s="264"/>
      <c r="I6" s="264"/>
      <c r="J6" s="264"/>
      <c r="K6" s="278"/>
      <c r="L6" s="264" t="s">
        <v>94</v>
      </c>
      <c r="M6" s="264"/>
      <c r="N6" s="264"/>
      <c r="O6" s="263" t="s">
        <v>26</v>
      </c>
      <c r="P6" s="264"/>
      <c r="Q6" s="264"/>
      <c r="R6" s="264"/>
      <c r="S6" s="264"/>
      <c r="T6" s="265"/>
      <c r="V6" s="51"/>
    </row>
    <row r="7" spans="1:22" ht="13.5" customHeight="1" thickBot="1">
      <c r="A7" s="305">
        <f>COUNTIF(F40:HQ40,"P")</f>
        <v>12</v>
      </c>
      <c r="B7" s="304"/>
      <c r="C7" s="302">
        <f>COUNTIF(F40:HQ40,"F")</f>
        <v>2</v>
      </c>
      <c r="D7" s="292"/>
      <c r="E7" s="304"/>
      <c r="F7" s="302">
        <f>SUM(O7,- A7,- C7)</f>
        <v>1</v>
      </c>
      <c r="G7" s="292"/>
      <c r="H7" s="292"/>
      <c r="I7" s="292"/>
      <c r="J7" s="292"/>
      <c r="K7" s="303"/>
      <c r="L7" s="147">
        <f>COUNTIF(E39:HQ39,"N")</f>
        <v>11</v>
      </c>
      <c r="M7" s="147">
        <f>COUNTIF(E39:HQ39,"A")</f>
        <v>3</v>
      </c>
      <c r="N7" s="147">
        <f>COUNTIF(E39:HQ39,"B")</f>
        <v>1</v>
      </c>
      <c r="O7" s="291">
        <f>COUNTA(E9:HT9)</f>
        <v>15</v>
      </c>
      <c r="P7" s="292"/>
      <c r="Q7" s="292"/>
      <c r="R7" s="292"/>
      <c r="S7" s="292"/>
      <c r="T7" s="293"/>
      <c r="U7" s="52"/>
    </row>
    <row r="8" spans="1:22" ht="11.25" thickBot="1"/>
    <row r="9" spans="1:22" ht="46.5" customHeight="1" thickTop="1" thickBot="1">
      <c r="A9" s="204"/>
      <c r="B9" s="205"/>
      <c r="C9" s="206"/>
      <c r="D9" s="207"/>
      <c r="E9" s="206"/>
      <c r="F9" s="208" t="s">
        <v>30</v>
      </c>
      <c r="G9" s="208" t="s">
        <v>31</v>
      </c>
      <c r="H9" s="208" t="s">
        <v>32</v>
      </c>
      <c r="I9" s="208" t="s">
        <v>33</v>
      </c>
      <c r="J9" s="208" t="s">
        <v>34</v>
      </c>
      <c r="K9" s="208" t="s">
        <v>35</v>
      </c>
      <c r="L9" s="208" t="s">
        <v>36</v>
      </c>
      <c r="M9" s="208" t="s">
        <v>37</v>
      </c>
      <c r="N9" s="208" t="s">
        <v>38</v>
      </c>
      <c r="O9" s="208" t="s">
        <v>39</v>
      </c>
      <c r="P9" s="208" t="s">
        <v>40</v>
      </c>
      <c r="Q9" s="208" t="s">
        <v>41</v>
      </c>
      <c r="R9" s="208" t="s">
        <v>42</v>
      </c>
      <c r="S9" s="208" t="s">
        <v>43</v>
      </c>
      <c r="T9" s="209" t="s">
        <v>44</v>
      </c>
      <c r="U9" s="54"/>
      <c r="V9" s="51"/>
    </row>
    <row r="10" spans="1:22" ht="13.5" customHeight="1">
      <c r="A10" s="185" t="s">
        <v>95</v>
      </c>
      <c r="B10" s="186" t="s">
        <v>96</v>
      </c>
      <c r="C10" s="187"/>
      <c r="D10" s="188"/>
      <c r="E10" s="60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73"/>
    </row>
    <row r="11" spans="1:22" ht="13.5" customHeight="1">
      <c r="A11" s="171"/>
      <c r="B11" s="55"/>
      <c r="C11" s="56"/>
      <c r="D11" s="57" t="s">
        <v>45</v>
      </c>
      <c r="E11" s="60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70"/>
      <c r="V11" s="51"/>
    </row>
    <row r="12" spans="1:22" ht="13.5" customHeight="1">
      <c r="A12" s="171"/>
      <c r="B12" s="55"/>
      <c r="C12" s="56"/>
      <c r="D12" s="57"/>
      <c r="E12" s="60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70"/>
    </row>
    <row r="13" spans="1:22" ht="13.5" customHeight="1">
      <c r="A13" s="171"/>
      <c r="B13" s="55"/>
      <c r="C13" s="56"/>
      <c r="D13" s="57"/>
      <c r="E13" s="61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70"/>
    </row>
    <row r="14" spans="1:22" ht="13.5" customHeight="1">
      <c r="A14" s="171"/>
      <c r="B14" s="55" t="s">
        <v>157</v>
      </c>
      <c r="C14" s="56"/>
      <c r="D14" s="57"/>
      <c r="E14" s="62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70"/>
    </row>
    <row r="15" spans="1:22" ht="13.5" customHeight="1">
      <c r="A15" s="171"/>
      <c r="B15" s="55"/>
      <c r="C15" s="56"/>
      <c r="D15" s="57">
        <v>29</v>
      </c>
      <c r="E15" s="62"/>
      <c r="F15" s="139" t="s">
        <v>126</v>
      </c>
      <c r="G15" s="139" t="s">
        <v>126</v>
      </c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70"/>
    </row>
    <row r="16" spans="1:22" ht="13.5" customHeight="1">
      <c r="A16" s="171"/>
      <c r="B16" s="55"/>
      <c r="C16" s="56"/>
      <c r="D16" s="57">
        <v>30</v>
      </c>
      <c r="E16" s="62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70"/>
    </row>
    <row r="17" spans="1:21" ht="13.5" customHeight="1">
      <c r="A17" s="171"/>
      <c r="B17" s="55"/>
      <c r="C17" s="56"/>
      <c r="D17" s="57">
        <v>31</v>
      </c>
      <c r="E17" s="62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70"/>
      <c r="U17" s="140"/>
    </row>
    <row r="18" spans="1:21" ht="13.5" customHeight="1">
      <c r="A18" s="171"/>
      <c r="B18" s="55" t="s">
        <v>158</v>
      </c>
      <c r="C18" s="56"/>
      <c r="D18" s="57"/>
      <c r="E18" s="62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70"/>
      <c r="U18" s="140"/>
    </row>
    <row r="19" spans="1:21" ht="13.5" customHeight="1">
      <c r="A19" s="171"/>
      <c r="B19" s="55"/>
      <c r="C19" s="56"/>
      <c r="D19" s="284">
        <v>2</v>
      </c>
      <c r="E19" s="284"/>
      <c r="F19" s="139" t="s">
        <v>126</v>
      </c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70"/>
    </row>
    <row r="20" spans="1:21" ht="13.5" customHeight="1">
      <c r="A20" s="171"/>
      <c r="B20" s="55"/>
      <c r="C20" s="56"/>
      <c r="D20" s="57">
        <v>3</v>
      </c>
      <c r="E20" s="62"/>
      <c r="F20" s="139"/>
      <c r="G20" s="139" t="s">
        <v>126</v>
      </c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70"/>
    </row>
    <row r="21" spans="1:21" ht="13.5" customHeight="1">
      <c r="A21" s="171"/>
      <c r="B21" s="55"/>
      <c r="C21" s="56"/>
      <c r="D21" s="57">
        <v>4</v>
      </c>
      <c r="E21" s="62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70"/>
    </row>
    <row r="22" spans="1:21" ht="13.5" customHeight="1">
      <c r="A22" s="171"/>
      <c r="B22" s="55" t="s">
        <v>159</v>
      </c>
      <c r="C22" s="56"/>
      <c r="D22" s="57"/>
      <c r="E22" s="62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70"/>
    </row>
    <row r="23" spans="1:21" ht="13.5" customHeight="1">
      <c r="A23" s="171"/>
      <c r="B23" s="55"/>
      <c r="C23" s="56"/>
      <c r="D23" s="57">
        <v>2000</v>
      </c>
      <c r="E23" s="62"/>
      <c r="F23" s="139" t="s">
        <v>126</v>
      </c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70"/>
    </row>
    <row r="24" spans="1:21" ht="13.5" customHeight="1">
      <c r="A24" s="171"/>
      <c r="B24" s="55"/>
      <c r="C24" s="56"/>
      <c r="D24" s="57">
        <v>2009</v>
      </c>
      <c r="E24" s="62"/>
      <c r="F24" s="139"/>
      <c r="G24" s="139" t="s">
        <v>126</v>
      </c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70"/>
    </row>
    <row r="25" spans="1:21" ht="13.5" customHeight="1">
      <c r="A25" s="171"/>
      <c r="B25" s="55"/>
      <c r="C25" s="56"/>
      <c r="D25" s="57"/>
      <c r="E25" s="62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70"/>
    </row>
    <row r="26" spans="1:21" ht="13.5" customHeight="1">
      <c r="A26" s="171"/>
      <c r="B26" s="55"/>
      <c r="C26" s="56"/>
      <c r="D26" s="57"/>
      <c r="E26" s="62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70"/>
    </row>
    <row r="27" spans="1:21" ht="13.5" customHeight="1">
      <c r="A27" s="171"/>
      <c r="B27" s="55"/>
      <c r="C27" s="56"/>
      <c r="D27" s="57"/>
      <c r="E27" s="62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70"/>
    </row>
    <row r="28" spans="1:21" ht="13.5" customHeight="1">
      <c r="A28" s="171"/>
      <c r="B28" s="55"/>
      <c r="C28" s="56"/>
      <c r="D28" s="57"/>
      <c r="E28" s="62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70"/>
    </row>
    <row r="29" spans="1:21" ht="13.5" customHeight="1">
      <c r="A29" s="171"/>
      <c r="B29" s="55"/>
      <c r="C29" s="56"/>
      <c r="D29" s="57"/>
      <c r="E29" s="62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70"/>
    </row>
    <row r="30" spans="1:21" ht="13.5" customHeight="1" thickBot="1">
      <c r="A30" s="171"/>
      <c r="B30" s="64"/>
      <c r="C30" s="65"/>
      <c r="D30" s="66"/>
      <c r="E30" s="67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72"/>
    </row>
    <row r="31" spans="1:21" ht="13.5" customHeight="1" thickTop="1">
      <c r="A31" s="184" t="s">
        <v>99</v>
      </c>
      <c r="B31" s="69" t="s">
        <v>100</v>
      </c>
      <c r="C31" s="70"/>
      <c r="D31" s="71"/>
      <c r="E31" s="7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73"/>
    </row>
    <row r="32" spans="1:21" ht="13.5" customHeight="1">
      <c r="A32" s="183"/>
      <c r="B32" s="74"/>
      <c r="C32" s="75"/>
      <c r="D32" s="76" t="s">
        <v>160</v>
      </c>
      <c r="E32" s="77"/>
      <c r="F32" s="139" t="s">
        <v>126</v>
      </c>
      <c r="G32" s="139" t="s">
        <v>126</v>
      </c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70"/>
    </row>
    <row r="33" spans="1:20" ht="13.5" customHeight="1">
      <c r="A33" s="183"/>
      <c r="B33" s="74"/>
      <c r="C33" s="143"/>
      <c r="D33" s="76" t="s">
        <v>59</v>
      </c>
      <c r="E33" s="7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70"/>
    </row>
    <row r="34" spans="1:20" ht="13.5" customHeight="1">
      <c r="A34" s="183"/>
      <c r="B34" s="74" t="s">
        <v>101</v>
      </c>
      <c r="C34" s="143"/>
      <c r="D34" s="76"/>
      <c r="E34" s="7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70"/>
    </row>
    <row r="35" spans="1:20" ht="13.5" customHeight="1">
      <c r="A35" s="183"/>
      <c r="B35" s="74"/>
      <c r="C35" s="143"/>
      <c r="D35" s="76"/>
      <c r="E35" s="7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70"/>
    </row>
    <row r="36" spans="1:20" ht="13.5" customHeight="1">
      <c r="A36" s="183"/>
      <c r="B36" s="74" t="s">
        <v>102</v>
      </c>
      <c r="C36" s="143"/>
      <c r="D36" s="76"/>
      <c r="E36" s="7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70"/>
    </row>
    <row r="37" spans="1:20" ht="13.5" customHeight="1">
      <c r="A37" s="183"/>
      <c r="B37" s="74"/>
      <c r="C37" s="143"/>
      <c r="D37" s="76" t="s">
        <v>50</v>
      </c>
      <c r="E37" s="7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70"/>
    </row>
    <row r="38" spans="1:20" ht="13.5" customHeight="1" thickBot="1">
      <c r="A38" s="183"/>
      <c r="B38" s="157"/>
      <c r="C38" s="158"/>
      <c r="D38" s="159" t="s">
        <v>51</v>
      </c>
      <c r="E38" s="160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74"/>
    </row>
    <row r="39" spans="1:20" ht="13.5" customHeight="1" thickTop="1">
      <c r="A39" s="184" t="s">
        <v>52</v>
      </c>
      <c r="B39" s="281" t="s">
        <v>53</v>
      </c>
      <c r="C39" s="281"/>
      <c r="D39" s="281"/>
      <c r="E39" s="162"/>
      <c r="F39" s="163" t="s">
        <v>56</v>
      </c>
      <c r="G39" s="163" t="s">
        <v>54</v>
      </c>
      <c r="H39" s="163" t="s">
        <v>54</v>
      </c>
      <c r="I39" s="163" t="s">
        <v>54</v>
      </c>
      <c r="J39" s="163" t="s">
        <v>54</v>
      </c>
      <c r="K39" s="163" t="s">
        <v>55</v>
      </c>
      <c r="L39" s="163" t="s">
        <v>56</v>
      </c>
      <c r="M39" s="163" t="s">
        <v>54</v>
      </c>
      <c r="N39" s="163" t="s">
        <v>54</v>
      </c>
      <c r="O39" s="163" t="s">
        <v>54</v>
      </c>
      <c r="P39" s="163" t="s">
        <v>54</v>
      </c>
      <c r="Q39" s="163" t="s">
        <v>54</v>
      </c>
      <c r="R39" s="163" t="s">
        <v>56</v>
      </c>
      <c r="S39" s="163" t="s">
        <v>54</v>
      </c>
      <c r="T39" s="175" t="s">
        <v>54</v>
      </c>
    </row>
    <row r="40" spans="1:20" ht="13.5" customHeight="1">
      <c r="A40" s="183"/>
      <c r="B40" s="301" t="s">
        <v>57</v>
      </c>
      <c r="C40" s="301"/>
      <c r="D40" s="301"/>
      <c r="E40" s="81"/>
      <c r="F40" s="144" t="s">
        <v>58</v>
      </c>
      <c r="G40" s="144" t="s">
        <v>58</v>
      </c>
      <c r="H40" s="144" t="s">
        <v>58</v>
      </c>
      <c r="I40" s="144" t="s">
        <v>58</v>
      </c>
      <c r="J40" s="144" t="s">
        <v>58</v>
      </c>
      <c r="K40" s="144" t="s">
        <v>59</v>
      </c>
      <c r="L40" s="144" t="s">
        <v>59</v>
      </c>
      <c r="M40" s="144" t="s">
        <v>58</v>
      </c>
      <c r="N40" s="144" t="s">
        <v>58</v>
      </c>
      <c r="O40" s="144" t="s">
        <v>58</v>
      </c>
      <c r="P40" s="144" t="s">
        <v>58</v>
      </c>
      <c r="Q40" s="144" t="s">
        <v>58</v>
      </c>
      <c r="R40" s="144"/>
      <c r="S40" s="144" t="s">
        <v>58</v>
      </c>
      <c r="T40" s="177" t="s">
        <v>58</v>
      </c>
    </row>
    <row r="41" spans="1:20" ht="13.5" customHeight="1">
      <c r="A41" s="183"/>
      <c r="B41" s="279" t="s">
        <v>60</v>
      </c>
      <c r="C41" s="279"/>
      <c r="D41" s="279"/>
      <c r="E41" s="82"/>
      <c r="F41" s="83">
        <v>39139</v>
      </c>
      <c r="G41" s="83">
        <v>39139</v>
      </c>
      <c r="H41" s="83">
        <v>39140</v>
      </c>
      <c r="I41" s="83">
        <v>39141</v>
      </c>
      <c r="J41" s="83">
        <v>39142</v>
      </c>
      <c r="K41" s="83">
        <v>39143</v>
      </c>
      <c r="L41" s="83">
        <v>39144</v>
      </c>
      <c r="M41" s="83">
        <v>39145</v>
      </c>
      <c r="N41" s="83">
        <v>39146</v>
      </c>
      <c r="O41" s="83">
        <v>39147</v>
      </c>
      <c r="P41" s="83">
        <v>39148</v>
      </c>
      <c r="Q41" s="83">
        <v>39149</v>
      </c>
      <c r="R41" s="83">
        <v>39150</v>
      </c>
      <c r="S41" s="83">
        <v>39151</v>
      </c>
      <c r="T41" s="178">
        <v>39152</v>
      </c>
    </row>
    <row r="42" spans="1:20" ht="75.75" thickBot="1">
      <c r="A42" s="203"/>
      <c r="B42" s="280" t="s">
        <v>61</v>
      </c>
      <c r="C42" s="280"/>
      <c r="D42" s="280"/>
      <c r="E42" s="180"/>
      <c r="F42" s="181"/>
      <c r="G42" s="181"/>
      <c r="H42" s="181"/>
      <c r="I42" s="181"/>
      <c r="J42" s="181"/>
      <c r="K42" s="181" t="s">
        <v>62</v>
      </c>
      <c r="L42" s="181" t="s">
        <v>63</v>
      </c>
      <c r="M42" s="181" t="s">
        <v>64</v>
      </c>
      <c r="N42" s="181" t="s">
        <v>65</v>
      </c>
      <c r="O42" s="181" t="s">
        <v>66</v>
      </c>
      <c r="P42" s="181" t="s">
        <v>67</v>
      </c>
      <c r="Q42" s="181" t="s">
        <v>68</v>
      </c>
      <c r="R42" s="181" t="s">
        <v>69</v>
      </c>
      <c r="S42" s="181" t="s">
        <v>70</v>
      </c>
      <c r="T42" s="182" t="s">
        <v>71</v>
      </c>
    </row>
    <row r="43" spans="1:20" ht="11.25" thickTop="1">
      <c r="A43" s="164"/>
    </row>
  </sheetData>
  <mergeCells count="28">
    <mergeCell ref="A2:B2"/>
    <mergeCell ref="C2:E2"/>
    <mergeCell ref="F2:K2"/>
    <mergeCell ref="B40:D40"/>
    <mergeCell ref="F7:K7"/>
    <mergeCell ref="C7:E7"/>
    <mergeCell ref="A7:B7"/>
    <mergeCell ref="A3:B3"/>
    <mergeCell ref="A4:B4"/>
    <mergeCell ref="C4:D4"/>
    <mergeCell ref="B41:D41"/>
    <mergeCell ref="B42:D42"/>
    <mergeCell ref="B39:D39"/>
    <mergeCell ref="C3:E3"/>
    <mergeCell ref="D19:E19"/>
    <mergeCell ref="A6:B6"/>
    <mergeCell ref="A5:B5"/>
    <mergeCell ref="C5:T5"/>
    <mergeCell ref="L6:N6"/>
    <mergeCell ref="O7:T7"/>
    <mergeCell ref="O6:T6"/>
    <mergeCell ref="L2:T2"/>
    <mergeCell ref="L3:N3"/>
    <mergeCell ref="C6:E6"/>
    <mergeCell ref="F3:K3"/>
    <mergeCell ref="L4:T4"/>
    <mergeCell ref="F6:K6"/>
    <mergeCell ref="F4:K4"/>
  </mergeCells>
  <phoneticPr fontId="30" type="noConversion"/>
  <dataValidations count="3">
    <dataValidation type="list" allowBlank="1" showInputMessage="1" showErrorMessage="1" sqref="F39:T39" xr:uid="{00000000-0002-0000-0400-000000000000}">
      <formula1>"N,A,B, "</formula1>
    </dataValidation>
    <dataValidation type="list" allowBlank="1" showInputMessage="1" showErrorMessage="1" sqref="F40:T40" xr:uid="{00000000-0002-0000-0400-000001000000}">
      <formula1>"P,F, "</formula1>
    </dataValidation>
    <dataValidation type="list" allowBlank="1" showInputMessage="1" showErrorMessage="1" sqref="F10:T38" xr:uid="{00000000-0002-0000-0400-000002000000}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43"/>
  <sheetViews>
    <sheetView workbookViewId="0">
      <pane ySplit="9" topLeftCell="A10" activePane="bottomLeft" state="frozen"/>
      <selection pane="bottomLeft" activeCell="A10" sqref="A10"/>
    </sheetView>
  </sheetViews>
  <sheetFormatPr defaultColWidth="9" defaultRowHeight="13.5" customHeight="1"/>
  <cols>
    <col min="1" max="1" width="8.125" style="49" customWidth="1"/>
    <col min="2" max="2" width="13.375" style="53" customWidth="1"/>
    <col min="3" max="3" width="10.875" style="49" customWidth="1"/>
    <col min="4" max="4" width="11.375" style="50" customWidth="1"/>
    <col min="5" max="5" width="1.875" style="49" hidden="1" customWidth="1"/>
    <col min="6" max="7" width="2.875" style="49" bestFit="1" customWidth="1"/>
    <col min="8" max="8" width="2.875" style="49" customWidth="1"/>
    <col min="9" max="10" width="2.875" style="49" bestFit="1" customWidth="1"/>
    <col min="11" max="19" width="2.875" style="49" customWidth="1"/>
    <col min="20" max="20" width="2.875" style="49" bestFit="1" customWidth="1"/>
    <col min="21" max="21" width="2.875" style="49" customWidth="1"/>
    <col min="22" max="16384" width="9" style="49"/>
  </cols>
  <sheetData>
    <row r="1" spans="1:22" ht="22.5" customHeight="1" thickBot="1">
      <c r="D1" s="148"/>
    </row>
    <row r="2" spans="1:22" ht="15" customHeight="1">
      <c r="A2" s="310" t="s">
        <v>88</v>
      </c>
      <c r="B2" s="311"/>
      <c r="C2" s="312" t="str">
        <f>Functions!E11</f>
        <v>FUNC_AUTH_001</v>
      </c>
      <c r="D2" s="314"/>
      <c r="E2" s="149"/>
      <c r="F2" s="311" t="s">
        <v>17</v>
      </c>
      <c r="G2" s="311"/>
      <c r="H2" s="311"/>
      <c r="I2" s="311"/>
      <c r="J2" s="311"/>
      <c r="K2" s="311"/>
      <c r="L2" s="312" t="str">
        <f>Functions!D11</f>
        <v>login()</v>
      </c>
      <c r="M2" s="312"/>
      <c r="N2" s="312"/>
      <c r="O2" s="312"/>
      <c r="P2" s="312"/>
      <c r="Q2" s="312"/>
      <c r="R2" s="312"/>
      <c r="S2" s="312"/>
      <c r="T2" s="313"/>
    </row>
    <row r="3" spans="1:22" ht="13.5" customHeight="1">
      <c r="A3" s="308" t="s">
        <v>89</v>
      </c>
      <c r="B3" s="309"/>
      <c r="C3" s="282" t="s">
        <v>29</v>
      </c>
      <c r="D3" s="269"/>
      <c r="E3" s="283"/>
      <c r="F3" s="315" t="s">
        <v>90</v>
      </c>
      <c r="G3" s="316"/>
      <c r="H3" s="316"/>
      <c r="I3" s="316"/>
      <c r="J3" s="316"/>
      <c r="K3" s="317"/>
      <c r="L3" s="269"/>
      <c r="M3" s="269"/>
      <c r="N3" s="269"/>
      <c r="O3" s="145"/>
      <c r="P3" s="145"/>
      <c r="Q3" s="145"/>
      <c r="R3" s="145"/>
      <c r="S3" s="145"/>
      <c r="T3" s="146"/>
    </row>
    <row r="4" spans="1:22" ht="13.5" customHeight="1">
      <c r="A4" s="287" t="s">
        <v>91</v>
      </c>
      <c r="B4" s="288"/>
      <c r="C4" s="306">
        <v>300</v>
      </c>
      <c r="D4" s="307"/>
      <c r="E4" s="156"/>
      <c r="F4" s="272" t="s">
        <v>92</v>
      </c>
      <c r="G4" s="273"/>
      <c r="H4" s="273"/>
      <c r="I4" s="273"/>
      <c r="J4" s="273"/>
      <c r="K4" s="274"/>
      <c r="L4" s="275">
        <f xml:space="preserve"> IF(Functions!E6&lt;&gt;"N/A",SUM(C4*Functions!E6/1000,- O7),"N/A")</f>
        <v>15</v>
      </c>
      <c r="M4" s="276"/>
      <c r="N4" s="276"/>
      <c r="O4" s="276"/>
      <c r="P4" s="276"/>
      <c r="Q4" s="276"/>
      <c r="R4" s="276"/>
      <c r="S4" s="276"/>
      <c r="T4" s="277"/>
      <c r="V4" s="51"/>
    </row>
    <row r="5" spans="1:22" ht="13.5" customHeight="1">
      <c r="A5" s="287" t="s">
        <v>93</v>
      </c>
      <c r="B5" s="288"/>
      <c r="C5" s="289" t="s">
        <v>87</v>
      </c>
      <c r="D5" s="289"/>
      <c r="E5" s="289"/>
      <c r="F5" s="290"/>
      <c r="G5" s="290"/>
      <c r="H5" s="290"/>
      <c r="I5" s="290"/>
      <c r="J5" s="290"/>
      <c r="K5" s="290"/>
      <c r="L5" s="289"/>
      <c r="M5" s="289"/>
      <c r="N5" s="289"/>
      <c r="O5" s="289"/>
      <c r="P5" s="289"/>
      <c r="Q5" s="289"/>
      <c r="R5" s="289"/>
      <c r="S5" s="289"/>
      <c r="T5" s="289"/>
    </row>
    <row r="6" spans="1:22" ht="13.5" customHeight="1">
      <c r="A6" s="285" t="s">
        <v>23</v>
      </c>
      <c r="B6" s="286"/>
      <c r="C6" s="270" t="s">
        <v>24</v>
      </c>
      <c r="D6" s="264"/>
      <c r="E6" s="271"/>
      <c r="F6" s="270" t="s">
        <v>25</v>
      </c>
      <c r="G6" s="264"/>
      <c r="H6" s="264"/>
      <c r="I6" s="264"/>
      <c r="J6" s="264"/>
      <c r="K6" s="278"/>
      <c r="L6" s="264" t="s">
        <v>94</v>
      </c>
      <c r="M6" s="264"/>
      <c r="N6" s="264"/>
      <c r="O6" s="263" t="s">
        <v>26</v>
      </c>
      <c r="P6" s="264"/>
      <c r="Q6" s="264"/>
      <c r="R6" s="264"/>
      <c r="S6" s="264"/>
      <c r="T6" s="265"/>
      <c r="V6" s="51"/>
    </row>
    <row r="7" spans="1:22" ht="13.5" customHeight="1" thickBot="1">
      <c r="A7" s="305">
        <f>COUNTIF(F40:HQ40,"P")</f>
        <v>12</v>
      </c>
      <c r="B7" s="304"/>
      <c r="C7" s="302">
        <f>COUNTIF(F40:HQ40,"F")</f>
        <v>3</v>
      </c>
      <c r="D7" s="292"/>
      <c r="E7" s="304"/>
      <c r="F7" s="302">
        <f>SUM(O7,- A7,- C7)</f>
        <v>0</v>
      </c>
      <c r="G7" s="292"/>
      <c r="H7" s="292"/>
      <c r="I7" s="292"/>
      <c r="J7" s="292"/>
      <c r="K7" s="303"/>
      <c r="L7" s="147">
        <f>COUNTIF(E39:HQ39,"N")</f>
        <v>12</v>
      </c>
      <c r="M7" s="147">
        <f>COUNTIF(E39:HQ39,"A")</f>
        <v>2</v>
      </c>
      <c r="N7" s="147">
        <f>COUNTIF(E39:HQ39,"B")</f>
        <v>1</v>
      </c>
      <c r="O7" s="291">
        <f>COUNTA(E9:HT9)</f>
        <v>15</v>
      </c>
      <c r="P7" s="292"/>
      <c r="Q7" s="292"/>
      <c r="R7" s="292"/>
      <c r="S7" s="292"/>
      <c r="T7" s="293"/>
      <c r="U7" s="52"/>
    </row>
    <row r="8" spans="1:22" ht="11.25" thickBot="1"/>
    <row r="9" spans="1:22" ht="43.5" thickTop="1" thickBot="1">
      <c r="A9" s="191"/>
      <c r="B9" s="192"/>
      <c r="C9" s="193"/>
      <c r="D9" s="194"/>
      <c r="E9" s="193"/>
      <c r="F9" s="195" t="s">
        <v>30</v>
      </c>
      <c r="G9" s="195" t="s">
        <v>31</v>
      </c>
      <c r="H9" s="195" t="s">
        <v>32</v>
      </c>
      <c r="I9" s="195" t="s">
        <v>33</v>
      </c>
      <c r="J9" s="195" t="s">
        <v>34</v>
      </c>
      <c r="K9" s="195" t="s">
        <v>35</v>
      </c>
      <c r="L9" s="195" t="s">
        <v>36</v>
      </c>
      <c r="M9" s="195" t="s">
        <v>37</v>
      </c>
      <c r="N9" s="195" t="s">
        <v>38</v>
      </c>
      <c r="O9" s="195" t="s">
        <v>39</v>
      </c>
      <c r="P9" s="195" t="s">
        <v>40</v>
      </c>
      <c r="Q9" s="195" t="s">
        <v>41</v>
      </c>
      <c r="R9" s="195" t="s">
        <v>42</v>
      </c>
      <c r="S9" s="195" t="s">
        <v>43</v>
      </c>
      <c r="T9" s="196" t="s">
        <v>44</v>
      </c>
      <c r="U9" s="54"/>
      <c r="V9" s="51"/>
    </row>
    <row r="10" spans="1:22" ht="13.5" customHeight="1">
      <c r="A10" s="185" t="s">
        <v>95</v>
      </c>
      <c r="B10" s="55" t="s">
        <v>81</v>
      </c>
      <c r="C10" s="56"/>
      <c r="D10" s="57"/>
      <c r="E10" s="58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197"/>
    </row>
    <row r="11" spans="1:22" ht="13.5" customHeight="1">
      <c r="A11" s="171"/>
      <c r="B11" s="55"/>
      <c r="C11" s="56"/>
      <c r="D11" s="57" t="s">
        <v>45</v>
      </c>
      <c r="E11" s="60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197"/>
      <c r="V11" s="51"/>
    </row>
    <row r="12" spans="1:22" ht="13.5" customHeight="1">
      <c r="A12" s="171"/>
      <c r="B12" s="55"/>
      <c r="C12" s="56"/>
      <c r="D12" s="57"/>
      <c r="E12" s="60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197"/>
    </row>
    <row r="13" spans="1:22" ht="13.5" customHeight="1">
      <c r="A13" s="171"/>
      <c r="B13" s="55"/>
      <c r="C13" s="56"/>
      <c r="D13" s="57"/>
      <c r="E13" s="61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197"/>
      <c r="V13" s="51"/>
    </row>
    <row r="14" spans="1:22" ht="13.5" customHeight="1">
      <c r="A14" s="171"/>
      <c r="B14" s="55" t="s">
        <v>82</v>
      </c>
      <c r="C14" s="56"/>
      <c r="D14" s="57"/>
      <c r="E14" s="62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197"/>
    </row>
    <row r="15" spans="1:22" ht="13.5" customHeight="1">
      <c r="A15" s="171"/>
      <c r="B15" s="55"/>
      <c r="C15" s="56"/>
      <c r="D15" s="57" t="s">
        <v>46</v>
      </c>
      <c r="E15" s="62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197"/>
    </row>
    <row r="16" spans="1:22" ht="13.5" customHeight="1">
      <c r="A16" s="171"/>
      <c r="B16" s="55"/>
      <c r="C16" s="56"/>
      <c r="D16" s="57" t="s">
        <v>47</v>
      </c>
      <c r="E16" s="62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197"/>
    </row>
    <row r="17" spans="1:21" ht="13.5" customHeight="1">
      <c r="A17" s="171"/>
      <c r="B17" s="55"/>
      <c r="C17" s="56"/>
      <c r="D17" s="57" t="s">
        <v>48</v>
      </c>
      <c r="E17" s="62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197"/>
      <c r="U17" s="63"/>
    </row>
    <row r="18" spans="1:21" ht="13.5" customHeight="1">
      <c r="A18" s="171"/>
      <c r="B18" s="55" t="s">
        <v>83</v>
      </c>
      <c r="C18" s="56"/>
      <c r="D18" s="57"/>
      <c r="E18" s="62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197"/>
      <c r="U18" s="63"/>
    </row>
    <row r="19" spans="1:21" ht="13.5" customHeight="1">
      <c r="A19" s="171"/>
      <c r="B19" s="55"/>
      <c r="C19" s="56"/>
      <c r="D19" s="284" t="s">
        <v>49</v>
      </c>
      <c r="E19" s="284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197"/>
    </row>
    <row r="20" spans="1:21" ht="13.5" customHeight="1">
      <c r="A20" s="171"/>
      <c r="B20" s="55"/>
      <c r="C20" s="56"/>
      <c r="D20" s="57">
        <v>5</v>
      </c>
      <c r="E20" s="62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197"/>
    </row>
    <row r="21" spans="1:21" ht="13.5" customHeight="1">
      <c r="A21" s="171"/>
      <c r="B21" s="55"/>
      <c r="C21" s="56"/>
      <c r="D21" s="57">
        <v>10</v>
      </c>
      <c r="E21" s="62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197"/>
    </row>
    <row r="22" spans="1:21" ht="13.5" customHeight="1">
      <c r="A22" s="171"/>
      <c r="B22" s="55"/>
      <c r="C22" s="56"/>
      <c r="D22" s="57"/>
      <c r="E22" s="62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197"/>
    </row>
    <row r="23" spans="1:21" ht="13.5" customHeight="1">
      <c r="A23" s="171"/>
      <c r="B23" s="55"/>
      <c r="C23" s="56"/>
      <c r="D23" s="57"/>
      <c r="E23" s="62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197"/>
    </row>
    <row r="24" spans="1:21" ht="13.5" customHeight="1">
      <c r="A24" s="171"/>
      <c r="B24" s="55"/>
      <c r="C24" s="56"/>
      <c r="D24" s="57"/>
      <c r="E24" s="62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197"/>
    </row>
    <row r="25" spans="1:21" ht="13.5" customHeight="1">
      <c r="A25" s="171"/>
      <c r="B25" s="55"/>
      <c r="C25" s="56"/>
      <c r="D25" s="57"/>
      <c r="E25" s="62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197"/>
    </row>
    <row r="26" spans="1:21" ht="13.5" customHeight="1">
      <c r="A26" s="171"/>
      <c r="B26" s="55"/>
      <c r="C26" s="56"/>
      <c r="D26" s="57"/>
      <c r="E26" s="62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197"/>
    </row>
    <row r="27" spans="1:21" ht="13.5" customHeight="1">
      <c r="A27" s="171"/>
      <c r="B27" s="55"/>
      <c r="C27" s="56"/>
      <c r="D27" s="57"/>
      <c r="E27" s="62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197"/>
    </row>
    <row r="28" spans="1:21" ht="13.5" customHeight="1">
      <c r="A28" s="171"/>
      <c r="B28" s="55"/>
      <c r="C28" s="56"/>
      <c r="D28" s="57"/>
      <c r="E28" s="62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197"/>
    </row>
    <row r="29" spans="1:21" ht="13.5" customHeight="1">
      <c r="A29" s="171"/>
      <c r="B29" s="55"/>
      <c r="C29" s="56"/>
      <c r="D29" s="57"/>
      <c r="E29" s="62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197"/>
    </row>
    <row r="30" spans="1:21" ht="13.5" customHeight="1" thickBot="1">
      <c r="A30" s="171"/>
      <c r="B30" s="64"/>
      <c r="C30" s="65"/>
      <c r="D30" s="66"/>
      <c r="E30" s="67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198"/>
    </row>
    <row r="31" spans="1:21" ht="13.5" customHeight="1" thickTop="1">
      <c r="A31" s="184" t="s">
        <v>99</v>
      </c>
      <c r="B31" s="69" t="s">
        <v>84</v>
      </c>
      <c r="C31" s="70"/>
      <c r="D31" s="71"/>
      <c r="E31" s="72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199"/>
    </row>
    <row r="32" spans="1:21" ht="13.5" customHeight="1">
      <c r="A32" s="183"/>
      <c r="B32" s="74"/>
      <c r="C32" s="75"/>
      <c r="D32" s="76">
        <v>1</v>
      </c>
      <c r="E32" s="77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197"/>
    </row>
    <row r="33" spans="1:20" ht="13.5" customHeight="1">
      <c r="A33" s="183"/>
      <c r="B33" s="74"/>
      <c r="C33" s="78"/>
      <c r="D33" s="76">
        <v>2</v>
      </c>
      <c r="E33" s="7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197"/>
    </row>
    <row r="34" spans="1:20" ht="13.5" customHeight="1">
      <c r="A34" s="183"/>
      <c r="B34" s="74" t="s">
        <v>85</v>
      </c>
      <c r="C34" s="78"/>
      <c r="D34" s="76"/>
      <c r="E34" s="7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197"/>
    </row>
    <row r="35" spans="1:20" ht="13.5" customHeight="1">
      <c r="A35" s="183"/>
      <c r="B35" s="74"/>
      <c r="C35" s="78"/>
      <c r="D35" s="76"/>
      <c r="E35" s="7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197"/>
    </row>
    <row r="36" spans="1:20" ht="13.5" customHeight="1">
      <c r="A36" s="183"/>
      <c r="B36" s="74" t="s">
        <v>86</v>
      </c>
      <c r="C36" s="78"/>
      <c r="D36" s="76"/>
      <c r="E36" s="7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197"/>
    </row>
    <row r="37" spans="1:20" ht="13.5" customHeight="1">
      <c r="A37" s="183"/>
      <c r="B37" s="74"/>
      <c r="C37" s="78"/>
      <c r="D37" s="76" t="s">
        <v>50</v>
      </c>
      <c r="E37" s="7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197"/>
    </row>
    <row r="38" spans="1:20" ht="13.5" customHeight="1" thickBot="1">
      <c r="A38" s="183"/>
      <c r="B38" s="157"/>
      <c r="C38" s="158"/>
      <c r="D38" s="159" t="s">
        <v>51</v>
      </c>
      <c r="E38" s="160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189"/>
      <c r="S38" s="189"/>
      <c r="T38" s="200"/>
    </row>
    <row r="39" spans="1:20" ht="13.5" customHeight="1" thickTop="1">
      <c r="A39" s="184" t="s">
        <v>52</v>
      </c>
      <c r="B39" s="281" t="s">
        <v>53</v>
      </c>
      <c r="C39" s="281"/>
      <c r="D39" s="281"/>
      <c r="E39" s="162"/>
      <c r="F39" s="190" t="s">
        <v>54</v>
      </c>
      <c r="G39" s="190" t="s">
        <v>54</v>
      </c>
      <c r="H39" s="190" t="s">
        <v>54</v>
      </c>
      <c r="I39" s="190" t="s">
        <v>54</v>
      </c>
      <c r="J39" s="190" t="s">
        <v>54</v>
      </c>
      <c r="K39" s="190" t="s">
        <v>55</v>
      </c>
      <c r="L39" s="190" t="s">
        <v>56</v>
      </c>
      <c r="M39" s="190" t="s">
        <v>54</v>
      </c>
      <c r="N39" s="190" t="s">
        <v>54</v>
      </c>
      <c r="O39" s="190" t="s">
        <v>54</v>
      </c>
      <c r="P39" s="190" t="s">
        <v>54</v>
      </c>
      <c r="Q39" s="190" t="s">
        <v>54</v>
      </c>
      <c r="R39" s="190" t="s">
        <v>56</v>
      </c>
      <c r="S39" s="190" t="s">
        <v>54</v>
      </c>
      <c r="T39" s="201" t="s">
        <v>54</v>
      </c>
    </row>
    <row r="40" spans="1:20" ht="13.5" customHeight="1">
      <c r="A40" s="183"/>
      <c r="B40" s="301" t="s">
        <v>57</v>
      </c>
      <c r="C40" s="301"/>
      <c r="D40" s="301"/>
      <c r="E40" s="81"/>
      <c r="F40" s="80" t="s">
        <v>58</v>
      </c>
      <c r="G40" s="80" t="s">
        <v>58</v>
      </c>
      <c r="H40" s="80" t="s">
        <v>58</v>
      </c>
      <c r="I40" s="80" t="s">
        <v>58</v>
      </c>
      <c r="J40" s="80" t="s">
        <v>58</v>
      </c>
      <c r="K40" s="80" t="s">
        <v>59</v>
      </c>
      <c r="L40" s="80" t="s">
        <v>59</v>
      </c>
      <c r="M40" s="80" t="s">
        <v>58</v>
      </c>
      <c r="N40" s="80" t="s">
        <v>58</v>
      </c>
      <c r="O40" s="80" t="s">
        <v>58</v>
      </c>
      <c r="P40" s="80" t="s">
        <v>58</v>
      </c>
      <c r="Q40" s="80" t="s">
        <v>58</v>
      </c>
      <c r="R40" s="80" t="s">
        <v>59</v>
      </c>
      <c r="S40" s="80" t="s">
        <v>58</v>
      </c>
      <c r="T40" s="202" t="s">
        <v>58</v>
      </c>
    </row>
    <row r="41" spans="1:20" ht="13.5" customHeight="1">
      <c r="A41" s="183"/>
      <c r="B41" s="279" t="s">
        <v>60</v>
      </c>
      <c r="C41" s="279"/>
      <c r="D41" s="279"/>
      <c r="E41" s="82"/>
      <c r="F41" s="83">
        <v>39139</v>
      </c>
      <c r="G41" s="83">
        <v>39139</v>
      </c>
      <c r="H41" s="83">
        <v>39140</v>
      </c>
      <c r="I41" s="83">
        <v>39141</v>
      </c>
      <c r="J41" s="83">
        <v>39142</v>
      </c>
      <c r="K41" s="83">
        <v>39143</v>
      </c>
      <c r="L41" s="83">
        <v>39144</v>
      </c>
      <c r="M41" s="83">
        <v>39145</v>
      </c>
      <c r="N41" s="83">
        <v>39146</v>
      </c>
      <c r="O41" s="83">
        <v>39147</v>
      </c>
      <c r="P41" s="83">
        <v>39148</v>
      </c>
      <c r="Q41" s="83">
        <v>39149</v>
      </c>
      <c r="R41" s="83">
        <v>39150</v>
      </c>
      <c r="S41" s="83">
        <v>39151</v>
      </c>
      <c r="T41" s="178">
        <v>39152</v>
      </c>
    </row>
    <row r="42" spans="1:20" ht="75.75" thickBot="1">
      <c r="A42" s="203"/>
      <c r="B42" s="280" t="s">
        <v>61</v>
      </c>
      <c r="C42" s="280"/>
      <c r="D42" s="280"/>
      <c r="E42" s="180"/>
      <c r="F42" s="181"/>
      <c r="G42" s="181"/>
      <c r="H42" s="181"/>
      <c r="I42" s="181"/>
      <c r="J42" s="181"/>
      <c r="K42" s="181" t="s">
        <v>62</v>
      </c>
      <c r="L42" s="181" t="s">
        <v>63</v>
      </c>
      <c r="M42" s="181" t="s">
        <v>64</v>
      </c>
      <c r="N42" s="181" t="s">
        <v>65</v>
      </c>
      <c r="O42" s="181" t="s">
        <v>66</v>
      </c>
      <c r="P42" s="181" t="s">
        <v>67</v>
      </c>
      <c r="Q42" s="181" t="s">
        <v>68</v>
      </c>
      <c r="R42" s="181" t="s">
        <v>69</v>
      </c>
      <c r="S42" s="181" t="s">
        <v>70</v>
      </c>
      <c r="T42" s="182" t="s">
        <v>71</v>
      </c>
    </row>
    <row r="43" spans="1:20" ht="11.25" thickTop="1">
      <c r="A43" s="53"/>
      <c r="B43" s="49"/>
      <c r="C43" s="50"/>
      <c r="D43" s="49"/>
    </row>
  </sheetData>
  <mergeCells count="28">
    <mergeCell ref="A2:B2"/>
    <mergeCell ref="O7:T7"/>
    <mergeCell ref="F2:K2"/>
    <mergeCell ref="L2:T2"/>
    <mergeCell ref="C2:D2"/>
    <mergeCell ref="O6:T6"/>
    <mergeCell ref="L3:N3"/>
    <mergeCell ref="C6:E6"/>
    <mergeCell ref="F3:K3"/>
    <mergeCell ref="L4:T4"/>
    <mergeCell ref="F6:K6"/>
    <mergeCell ref="F4:K4"/>
    <mergeCell ref="L6:N6"/>
    <mergeCell ref="F7:K7"/>
    <mergeCell ref="C7:E7"/>
    <mergeCell ref="C5:T5"/>
    <mergeCell ref="B41:D41"/>
    <mergeCell ref="A7:B7"/>
    <mergeCell ref="B42:D42"/>
    <mergeCell ref="B39:D39"/>
    <mergeCell ref="C3:E3"/>
    <mergeCell ref="A3:B3"/>
    <mergeCell ref="A4:B4"/>
    <mergeCell ref="C4:D4"/>
    <mergeCell ref="D19:E19"/>
    <mergeCell ref="A6:B6"/>
    <mergeCell ref="B40:D40"/>
    <mergeCell ref="A5:B5"/>
  </mergeCells>
  <phoneticPr fontId="30" type="noConversion"/>
  <dataValidations count="3">
    <dataValidation type="list" allowBlank="1" showInputMessage="1" showErrorMessage="1" sqref="F39:T39" xr:uid="{00000000-0002-0000-0500-000000000000}">
      <formula1>"N,A,B, "</formula1>
    </dataValidation>
    <dataValidation type="list" allowBlank="1" showInputMessage="1" showErrorMessage="1" sqref="F40:T40" xr:uid="{00000000-0002-0000-0500-000001000000}">
      <formula1>"P,F, "</formula1>
    </dataValidation>
    <dataValidation type="list" allowBlank="1" showInputMessage="1" showErrorMessage="1" sqref="F10:T38" xr:uid="{00000000-0002-0000-0500-000002000000}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43"/>
  <sheetViews>
    <sheetView workbookViewId="0">
      <pane ySplit="9" topLeftCell="A10" activePane="bottomLeft" state="frozen"/>
      <selection pane="bottomLeft" activeCell="A10" sqref="A10"/>
    </sheetView>
  </sheetViews>
  <sheetFormatPr defaultColWidth="9" defaultRowHeight="13.5" customHeight="1"/>
  <cols>
    <col min="1" max="1" width="6.875" style="84" customWidth="1"/>
    <col min="2" max="2" width="13.375" style="88" customWidth="1"/>
    <col min="3" max="3" width="10.875" style="84" customWidth="1"/>
    <col min="4" max="4" width="11.375" style="85" customWidth="1"/>
    <col min="5" max="5" width="1.875" style="84" hidden="1" customWidth="1"/>
    <col min="6" max="7" width="2.875" style="84" bestFit="1" customWidth="1"/>
    <col min="8" max="8" width="2.875" style="84" customWidth="1"/>
    <col min="9" max="10" width="2.875" style="84" bestFit="1" customWidth="1"/>
    <col min="11" max="19" width="2.875" style="84" customWidth="1"/>
    <col min="20" max="20" width="2.875" style="84" bestFit="1" customWidth="1"/>
    <col min="21" max="21" width="2.875" style="84" customWidth="1"/>
    <col min="22" max="16384" width="9" style="84"/>
  </cols>
  <sheetData>
    <row r="1" spans="1:23" ht="13.5" customHeight="1" thickBot="1"/>
    <row r="2" spans="1:23" ht="13.5" customHeight="1">
      <c r="A2" s="310" t="s">
        <v>88</v>
      </c>
      <c r="B2" s="311"/>
      <c r="C2" s="312" t="str">
        <f>Functions!E12</f>
        <v>FUNC_AUTH_002</v>
      </c>
      <c r="D2" s="314"/>
      <c r="F2" s="311" t="s">
        <v>17</v>
      </c>
      <c r="G2" s="311"/>
      <c r="H2" s="311"/>
      <c r="I2" s="311"/>
      <c r="J2" s="311"/>
      <c r="K2" s="311"/>
      <c r="L2" s="345" t="str">
        <f>Functions!D12</f>
        <v>logout()</v>
      </c>
      <c r="M2" s="346"/>
      <c r="N2" s="346"/>
      <c r="O2" s="346"/>
      <c r="P2" s="346"/>
      <c r="Q2" s="346"/>
      <c r="R2" s="346"/>
      <c r="S2" s="346"/>
      <c r="T2" s="347"/>
    </row>
    <row r="3" spans="1:23" ht="13.5" customHeight="1">
      <c r="A3" s="326" t="s">
        <v>89</v>
      </c>
      <c r="B3" s="327"/>
      <c r="C3" s="320" t="s">
        <v>29</v>
      </c>
      <c r="D3" s="321"/>
      <c r="E3" s="322"/>
      <c r="F3" s="342" t="s">
        <v>90</v>
      </c>
      <c r="G3" s="343"/>
      <c r="H3" s="343"/>
      <c r="I3" s="343"/>
      <c r="J3" s="343"/>
      <c r="K3" s="344"/>
      <c r="L3" s="321"/>
      <c r="M3" s="321"/>
      <c r="N3" s="321"/>
      <c r="O3" s="210"/>
      <c r="P3" s="210"/>
      <c r="Q3" s="210"/>
      <c r="R3" s="210"/>
      <c r="S3" s="210"/>
      <c r="T3" s="211"/>
    </row>
    <row r="4" spans="1:23" ht="13.5" customHeight="1">
      <c r="A4" s="326" t="s">
        <v>91</v>
      </c>
      <c r="B4" s="327"/>
      <c r="C4" s="354">
        <v>300</v>
      </c>
      <c r="D4" s="355"/>
      <c r="E4" s="212"/>
      <c r="F4" s="342" t="s">
        <v>92</v>
      </c>
      <c r="G4" s="343"/>
      <c r="H4" s="343"/>
      <c r="I4" s="343"/>
      <c r="J4" s="343"/>
      <c r="K4" s="344"/>
      <c r="L4" s="351">
        <f xml:space="preserve"> IF(Functions!E6&lt;&gt;"N/A",SUM(C4*Functions!E6/1000,- O7),"N/A")</f>
        <v>15</v>
      </c>
      <c r="M4" s="352"/>
      <c r="N4" s="352"/>
      <c r="O4" s="352"/>
      <c r="P4" s="352"/>
      <c r="Q4" s="352"/>
      <c r="R4" s="352"/>
      <c r="S4" s="352"/>
      <c r="T4" s="353"/>
      <c r="V4" s="86"/>
    </row>
    <row r="5" spans="1:23" ht="13.5" customHeight="1">
      <c r="A5" s="326" t="s">
        <v>93</v>
      </c>
      <c r="B5" s="327"/>
      <c r="C5" s="328" t="s">
        <v>87</v>
      </c>
      <c r="D5" s="328"/>
      <c r="E5" s="328"/>
      <c r="F5" s="329"/>
      <c r="G5" s="329"/>
      <c r="H5" s="329"/>
      <c r="I5" s="329"/>
      <c r="J5" s="329"/>
      <c r="K5" s="329"/>
      <c r="L5" s="328"/>
      <c r="M5" s="328"/>
      <c r="N5" s="328"/>
      <c r="O5" s="328"/>
      <c r="P5" s="328"/>
      <c r="Q5" s="328"/>
      <c r="R5" s="328"/>
      <c r="S5" s="328"/>
      <c r="T5" s="328"/>
    </row>
    <row r="6" spans="1:23" ht="13.5" customHeight="1">
      <c r="A6" s="324" t="s">
        <v>23</v>
      </c>
      <c r="B6" s="325"/>
      <c r="C6" s="340" t="s">
        <v>24</v>
      </c>
      <c r="D6" s="330"/>
      <c r="E6" s="341"/>
      <c r="F6" s="340" t="s">
        <v>25</v>
      </c>
      <c r="G6" s="330"/>
      <c r="H6" s="330"/>
      <c r="I6" s="330"/>
      <c r="J6" s="330"/>
      <c r="K6" s="348"/>
      <c r="L6" s="330" t="s">
        <v>94</v>
      </c>
      <c r="M6" s="330"/>
      <c r="N6" s="330"/>
      <c r="O6" s="349" t="s">
        <v>26</v>
      </c>
      <c r="P6" s="330"/>
      <c r="Q6" s="330"/>
      <c r="R6" s="330"/>
      <c r="S6" s="330"/>
      <c r="T6" s="350"/>
      <c r="V6" s="86"/>
    </row>
    <row r="7" spans="1:23" ht="13.5" customHeight="1" thickBot="1">
      <c r="A7" s="339">
        <f>COUNTIF(F40:HQ40,"P")</f>
        <v>12</v>
      </c>
      <c r="B7" s="338"/>
      <c r="C7" s="334">
        <f>COUNTIF(F40:HQ40,"F")</f>
        <v>2</v>
      </c>
      <c r="D7" s="332"/>
      <c r="E7" s="338"/>
      <c r="F7" s="334">
        <f>SUM(O7,- A7,- C7)</f>
        <v>1</v>
      </c>
      <c r="G7" s="332"/>
      <c r="H7" s="332"/>
      <c r="I7" s="332"/>
      <c r="J7" s="332"/>
      <c r="K7" s="335"/>
      <c r="L7" s="213">
        <f>COUNTIF(E39:HQ39,"N")</f>
        <v>12</v>
      </c>
      <c r="M7" s="213">
        <f>COUNTIF(E39:HQ39,"A")</f>
        <v>2</v>
      </c>
      <c r="N7" s="213">
        <f>COUNTIF(E39:HQ39,"B")</f>
        <v>1</v>
      </c>
      <c r="O7" s="331">
        <f>COUNTA(E9:HT9)</f>
        <v>15</v>
      </c>
      <c r="P7" s="332"/>
      <c r="Q7" s="332"/>
      <c r="R7" s="332"/>
      <c r="S7" s="332"/>
      <c r="T7" s="333"/>
      <c r="U7" s="87"/>
    </row>
    <row r="8" spans="1:23" ht="11.25" thickBot="1"/>
    <row r="9" spans="1:23" ht="46.5" customHeight="1" thickTop="1" thickBot="1">
      <c r="A9" s="221"/>
      <c r="B9" s="222"/>
      <c r="C9" s="223"/>
      <c r="D9" s="224"/>
      <c r="E9" s="223"/>
      <c r="F9" s="225" t="s">
        <v>30</v>
      </c>
      <c r="G9" s="225" t="s">
        <v>31</v>
      </c>
      <c r="H9" s="225" t="s">
        <v>32</v>
      </c>
      <c r="I9" s="225" t="s">
        <v>33</v>
      </c>
      <c r="J9" s="225" t="s">
        <v>34</v>
      </c>
      <c r="K9" s="225" t="s">
        <v>35</v>
      </c>
      <c r="L9" s="225" t="s">
        <v>36</v>
      </c>
      <c r="M9" s="225" t="s">
        <v>37</v>
      </c>
      <c r="N9" s="225" t="s">
        <v>38</v>
      </c>
      <c r="O9" s="225" t="s">
        <v>39</v>
      </c>
      <c r="P9" s="225" t="s">
        <v>40</v>
      </c>
      <c r="Q9" s="225" t="s">
        <v>41</v>
      </c>
      <c r="R9" s="225" t="s">
        <v>42</v>
      </c>
      <c r="S9" s="225" t="s">
        <v>43</v>
      </c>
      <c r="T9" s="226" t="s">
        <v>44</v>
      </c>
      <c r="U9" s="89"/>
      <c r="V9" s="86"/>
    </row>
    <row r="10" spans="1:23" ht="13.5" customHeight="1">
      <c r="A10" s="227" t="s">
        <v>95</v>
      </c>
      <c r="B10" s="90" t="s">
        <v>96</v>
      </c>
      <c r="C10" s="91"/>
      <c r="D10" s="92"/>
      <c r="E10" s="93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228"/>
    </row>
    <row r="11" spans="1:23" ht="13.5" customHeight="1">
      <c r="A11" s="229"/>
      <c r="B11" s="90"/>
      <c r="C11" s="91"/>
      <c r="D11" s="92" t="s">
        <v>45</v>
      </c>
      <c r="E11" s="95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228"/>
      <c r="V11" s="86"/>
    </row>
    <row r="12" spans="1:23" ht="13.5" customHeight="1">
      <c r="A12" s="229"/>
      <c r="B12" s="90"/>
      <c r="C12" s="91"/>
      <c r="D12" s="92"/>
      <c r="E12" s="95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228"/>
    </row>
    <row r="13" spans="1:23" ht="13.5" customHeight="1">
      <c r="A13" s="229"/>
      <c r="B13" s="90"/>
      <c r="C13" s="91"/>
      <c r="D13" s="92"/>
      <c r="E13" s="96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228"/>
    </row>
    <row r="14" spans="1:23" ht="13.5" customHeight="1">
      <c r="A14" s="229"/>
      <c r="B14" s="90" t="s">
        <v>97</v>
      </c>
      <c r="C14" s="91"/>
      <c r="D14" s="92"/>
      <c r="E14" s="97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228"/>
    </row>
    <row r="15" spans="1:23" ht="13.5" customHeight="1">
      <c r="A15" s="229"/>
      <c r="B15" s="90"/>
      <c r="C15" s="91"/>
      <c r="D15" s="92" t="s">
        <v>46</v>
      </c>
      <c r="E15" s="97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228"/>
      <c r="W15" s="86"/>
    </row>
    <row r="16" spans="1:23" ht="13.5" customHeight="1">
      <c r="A16" s="229"/>
      <c r="B16" s="90"/>
      <c r="C16" s="91"/>
      <c r="D16" s="92" t="s">
        <v>47</v>
      </c>
      <c r="E16" s="97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228"/>
    </row>
    <row r="17" spans="1:21" ht="13.5" customHeight="1">
      <c r="A17" s="229"/>
      <c r="B17" s="90"/>
      <c r="C17" s="91"/>
      <c r="D17" s="92" t="s">
        <v>48</v>
      </c>
      <c r="E17" s="97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228"/>
      <c r="U17" s="98"/>
    </row>
    <row r="18" spans="1:21" ht="13.5" customHeight="1">
      <c r="A18" s="229"/>
      <c r="B18" s="90" t="s">
        <v>98</v>
      </c>
      <c r="C18" s="91"/>
      <c r="D18" s="92"/>
      <c r="E18" s="97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228"/>
      <c r="U18" s="98"/>
    </row>
    <row r="19" spans="1:21" ht="13.5" customHeight="1">
      <c r="A19" s="229"/>
      <c r="B19" s="90"/>
      <c r="C19" s="91"/>
      <c r="D19" s="323" t="s">
        <v>49</v>
      </c>
      <c r="E19" s="323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228"/>
    </row>
    <row r="20" spans="1:21" ht="13.5" customHeight="1">
      <c r="A20" s="229"/>
      <c r="B20" s="90"/>
      <c r="C20" s="91"/>
      <c r="D20" s="92">
        <v>5</v>
      </c>
      <c r="E20" s="97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228"/>
    </row>
    <row r="21" spans="1:21" ht="13.5" customHeight="1">
      <c r="A21" s="229"/>
      <c r="B21" s="90"/>
      <c r="C21" s="91"/>
      <c r="D21" s="92">
        <v>10</v>
      </c>
      <c r="E21" s="97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228"/>
    </row>
    <row r="22" spans="1:21" ht="13.5" customHeight="1">
      <c r="A22" s="229"/>
      <c r="B22" s="90"/>
      <c r="C22" s="91"/>
      <c r="D22" s="92"/>
      <c r="E22" s="97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228"/>
    </row>
    <row r="23" spans="1:21" ht="13.5" customHeight="1">
      <c r="A23" s="229"/>
      <c r="B23" s="90"/>
      <c r="C23" s="91"/>
      <c r="D23" s="92"/>
      <c r="E23" s="97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228"/>
    </row>
    <row r="24" spans="1:21" ht="13.5" customHeight="1">
      <c r="A24" s="229"/>
      <c r="B24" s="90"/>
      <c r="C24" s="91"/>
      <c r="D24" s="92"/>
      <c r="E24" s="97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228"/>
    </row>
    <row r="25" spans="1:21" ht="13.5" customHeight="1">
      <c r="A25" s="229"/>
      <c r="B25" s="90"/>
      <c r="C25" s="91"/>
      <c r="D25" s="92"/>
      <c r="E25" s="97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228"/>
    </row>
    <row r="26" spans="1:21" ht="13.5" customHeight="1">
      <c r="A26" s="229"/>
      <c r="B26" s="90"/>
      <c r="C26" s="91"/>
      <c r="D26" s="92"/>
      <c r="E26" s="97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228"/>
    </row>
    <row r="27" spans="1:21" ht="13.5" customHeight="1">
      <c r="A27" s="229"/>
      <c r="B27" s="90"/>
      <c r="C27" s="91"/>
      <c r="D27" s="92"/>
      <c r="E27" s="97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228"/>
    </row>
    <row r="28" spans="1:21" ht="13.5" customHeight="1">
      <c r="A28" s="229"/>
      <c r="B28" s="90"/>
      <c r="C28" s="91"/>
      <c r="D28" s="92"/>
      <c r="E28" s="97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228"/>
    </row>
    <row r="29" spans="1:21" ht="13.5" customHeight="1">
      <c r="A29" s="229"/>
      <c r="B29" s="90"/>
      <c r="C29" s="91"/>
      <c r="D29" s="92"/>
      <c r="E29" s="97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228"/>
    </row>
    <row r="30" spans="1:21" ht="13.5" customHeight="1" thickBot="1">
      <c r="A30" s="229"/>
      <c r="B30" s="99"/>
      <c r="C30" s="100"/>
      <c r="D30" s="101"/>
      <c r="E30" s="102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230"/>
    </row>
    <row r="31" spans="1:21" ht="13.5" customHeight="1" thickTop="1">
      <c r="A31" s="231" t="s">
        <v>99</v>
      </c>
      <c r="B31" s="104" t="s">
        <v>100</v>
      </c>
      <c r="C31" s="105"/>
      <c r="D31" s="106"/>
      <c r="E31" s="107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232"/>
    </row>
    <row r="32" spans="1:21" ht="13.5" customHeight="1">
      <c r="A32" s="233"/>
      <c r="B32" s="109"/>
      <c r="C32" s="110"/>
      <c r="D32" s="111">
        <v>1</v>
      </c>
      <c r="E32" s="112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228"/>
    </row>
    <row r="33" spans="1:20" ht="13.5" customHeight="1">
      <c r="A33" s="233"/>
      <c r="B33" s="109"/>
      <c r="C33" s="113"/>
      <c r="D33" s="111">
        <v>2</v>
      </c>
      <c r="E33" s="11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228"/>
    </row>
    <row r="34" spans="1:20" ht="13.5" customHeight="1">
      <c r="A34" s="233"/>
      <c r="B34" s="109" t="s">
        <v>101</v>
      </c>
      <c r="C34" s="113"/>
      <c r="D34" s="111"/>
      <c r="E34" s="11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228"/>
    </row>
    <row r="35" spans="1:20" ht="13.5" customHeight="1">
      <c r="A35" s="233"/>
      <c r="B35" s="109"/>
      <c r="C35" s="113"/>
      <c r="D35" s="111"/>
      <c r="E35" s="11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228"/>
    </row>
    <row r="36" spans="1:20" ht="13.5" customHeight="1">
      <c r="A36" s="233"/>
      <c r="B36" s="109" t="s">
        <v>102</v>
      </c>
      <c r="C36" s="113"/>
      <c r="D36" s="111"/>
      <c r="E36" s="11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228"/>
    </row>
    <row r="37" spans="1:20" ht="13.5" customHeight="1">
      <c r="A37" s="233"/>
      <c r="B37" s="109"/>
      <c r="C37" s="113"/>
      <c r="D37" s="111" t="s">
        <v>50</v>
      </c>
      <c r="E37" s="11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228"/>
    </row>
    <row r="38" spans="1:20" ht="13.5" customHeight="1" thickBot="1">
      <c r="A38" s="233"/>
      <c r="B38" s="214"/>
      <c r="C38" s="215"/>
      <c r="D38" s="216" t="s">
        <v>51</v>
      </c>
      <c r="E38" s="217"/>
      <c r="F38" s="218"/>
      <c r="G38" s="218"/>
      <c r="H38" s="218"/>
      <c r="I38" s="218"/>
      <c r="J38" s="218"/>
      <c r="K38" s="218"/>
      <c r="L38" s="218"/>
      <c r="M38" s="218"/>
      <c r="N38" s="218"/>
      <c r="O38" s="218"/>
      <c r="P38" s="218"/>
      <c r="Q38" s="218"/>
      <c r="R38" s="218"/>
      <c r="S38" s="218"/>
      <c r="T38" s="234"/>
    </row>
    <row r="39" spans="1:20" ht="13.5" customHeight="1" thickTop="1">
      <c r="A39" s="231" t="s">
        <v>52</v>
      </c>
      <c r="B39" s="319" t="s">
        <v>53</v>
      </c>
      <c r="C39" s="319"/>
      <c r="D39" s="319"/>
      <c r="E39" s="219"/>
      <c r="F39" s="220" t="s">
        <v>54</v>
      </c>
      <c r="G39" s="220" t="s">
        <v>54</v>
      </c>
      <c r="H39" s="220" t="s">
        <v>54</v>
      </c>
      <c r="I39" s="220" t="s">
        <v>54</v>
      </c>
      <c r="J39" s="220" t="s">
        <v>54</v>
      </c>
      <c r="K39" s="220" t="s">
        <v>55</v>
      </c>
      <c r="L39" s="220" t="s">
        <v>56</v>
      </c>
      <c r="M39" s="220" t="s">
        <v>54</v>
      </c>
      <c r="N39" s="220" t="s">
        <v>54</v>
      </c>
      <c r="O39" s="220" t="s">
        <v>54</v>
      </c>
      <c r="P39" s="220" t="s">
        <v>54</v>
      </c>
      <c r="Q39" s="220" t="s">
        <v>54</v>
      </c>
      <c r="R39" s="220" t="s">
        <v>56</v>
      </c>
      <c r="S39" s="220" t="s">
        <v>54</v>
      </c>
      <c r="T39" s="235" t="s">
        <v>54</v>
      </c>
    </row>
    <row r="40" spans="1:20" ht="13.5" customHeight="1">
      <c r="A40" s="236"/>
      <c r="B40" s="336" t="s">
        <v>57</v>
      </c>
      <c r="C40" s="336"/>
      <c r="D40" s="336"/>
      <c r="E40" s="116"/>
      <c r="F40" s="115" t="s">
        <v>58</v>
      </c>
      <c r="G40" s="115" t="s">
        <v>58</v>
      </c>
      <c r="H40" s="115" t="s">
        <v>58</v>
      </c>
      <c r="I40" s="115" t="s">
        <v>58</v>
      </c>
      <c r="J40" s="115" t="s">
        <v>58</v>
      </c>
      <c r="K40" s="115" t="s">
        <v>59</v>
      </c>
      <c r="L40" s="115" t="s">
        <v>59</v>
      </c>
      <c r="M40" s="115" t="s">
        <v>58</v>
      </c>
      <c r="N40" s="115" t="s">
        <v>58</v>
      </c>
      <c r="O40" s="115" t="s">
        <v>58</v>
      </c>
      <c r="P40" s="115" t="s">
        <v>58</v>
      </c>
      <c r="Q40" s="115" t="s">
        <v>58</v>
      </c>
      <c r="R40" s="115"/>
      <c r="S40" s="115" t="s">
        <v>58</v>
      </c>
      <c r="T40" s="237" t="s">
        <v>58</v>
      </c>
    </row>
    <row r="41" spans="1:20" ht="13.5" customHeight="1">
      <c r="A41" s="236"/>
      <c r="B41" s="337" t="s">
        <v>60</v>
      </c>
      <c r="C41" s="337"/>
      <c r="D41" s="337"/>
      <c r="E41" s="117"/>
      <c r="F41" s="118">
        <v>39139</v>
      </c>
      <c r="G41" s="118">
        <v>39139</v>
      </c>
      <c r="H41" s="118">
        <v>39140</v>
      </c>
      <c r="I41" s="118">
        <v>39141</v>
      </c>
      <c r="J41" s="118">
        <v>39142</v>
      </c>
      <c r="K41" s="118">
        <v>39143</v>
      </c>
      <c r="L41" s="118">
        <v>39144</v>
      </c>
      <c r="M41" s="118">
        <v>39145</v>
      </c>
      <c r="N41" s="118">
        <v>39146</v>
      </c>
      <c r="O41" s="118">
        <v>39147</v>
      </c>
      <c r="P41" s="118">
        <v>39148</v>
      </c>
      <c r="Q41" s="118">
        <v>39149</v>
      </c>
      <c r="R41" s="118">
        <v>39150</v>
      </c>
      <c r="S41" s="118">
        <v>39151</v>
      </c>
      <c r="T41" s="238">
        <v>39152</v>
      </c>
    </row>
    <row r="42" spans="1:20" ht="75.75" thickBot="1">
      <c r="A42" s="239"/>
      <c r="B42" s="318" t="s">
        <v>61</v>
      </c>
      <c r="C42" s="318"/>
      <c r="D42" s="318"/>
      <c r="E42" s="240"/>
      <c r="F42" s="241"/>
      <c r="G42" s="241"/>
      <c r="H42" s="241"/>
      <c r="I42" s="241"/>
      <c r="J42" s="241"/>
      <c r="K42" s="241" t="s">
        <v>62</v>
      </c>
      <c r="L42" s="241" t="s">
        <v>63</v>
      </c>
      <c r="M42" s="241" t="s">
        <v>64</v>
      </c>
      <c r="N42" s="241" t="s">
        <v>65</v>
      </c>
      <c r="O42" s="241" t="s">
        <v>66</v>
      </c>
      <c r="P42" s="241" t="s">
        <v>67</v>
      </c>
      <c r="Q42" s="241" t="s">
        <v>68</v>
      </c>
      <c r="R42" s="241" t="s">
        <v>69</v>
      </c>
      <c r="S42" s="241" t="s">
        <v>70</v>
      </c>
      <c r="T42" s="242" t="s">
        <v>71</v>
      </c>
    </row>
    <row r="43" spans="1:20" ht="11.25" thickTop="1">
      <c r="A43" s="88"/>
      <c r="B43" s="84"/>
      <c r="C43" s="85"/>
      <c r="D43" s="84"/>
    </row>
  </sheetData>
  <mergeCells count="28">
    <mergeCell ref="L2:T2"/>
    <mergeCell ref="C2:D2"/>
    <mergeCell ref="F6:K6"/>
    <mergeCell ref="F4:K4"/>
    <mergeCell ref="O6:T6"/>
    <mergeCell ref="L3:N3"/>
    <mergeCell ref="L4:T4"/>
    <mergeCell ref="C4:D4"/>
    <mergeCell ref="A2:B2"/>
    <mergeCell ref="F2:K2"/>
    <mergeCell ref="B40:D40"/>
    <mergeCell ref="B41:D41"/>
    <mergeCell ref="C7:E7"/>
    <mergeCell ref="A7:B7"/>
    <mergeCell ref="C6:E6"/>
    <mergeCell ref="F3:K3"/>
    <mergeCell ref="A3:B3"/>
    <mergeCell ref="A4:B4"/>
    <mergeCell ref="B42:D42"/>
    <mergeCell ref="B39:D39"/>
    <mergeCell ref="C3:E3"/>
    <mergeCell ref="D19:E19"/>
    <mergeCell ref="A6:B6"/>
    <mergeCell ref="A5:B5"/>
    <mergeCell ref="C5:T5"/>
    <mergeCell ref="L6:N6"/>
    <mergeCell ref="O7:T7"/>
    <mergeCell ref="F7:K7"/>
  </mergeCells>
  <phoneticPr fontId="30" type="noConversion"/>
  <dataValidations disablePrompts="1" count="3">
    <dataValidation type="list" allowBlank="1" showInputMessage="1" showErrorMessage="1" sqref="F39:T39" xr:uid="{00000000-0002-0000-0600-000000000000}">
      <formula1>"N,A,B, "</formula1>
    </dataValidation>
    <dataValidation type="list" allowBlank="1" showInputMessage="1" showErrorMessage="1" sqref="F40:T40" xr:uid="{00000000-0002-0000-0600-000001000000}">
      <formula1>"P,F, "</formula1>
    </dataValidation>
    <dataValidation type="list" allowBlank="1" showInputMessage="1" showErrorMessage="1" sqref="F10:T38" xr:uid="{00000000-0002-0000-0600-000002000000}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49"/>
  <sheetViews>
    <sheetView topLeftCell="A35" zoomScale="141" workbookViewId="0">
      <selection activeCell="F9" sqref="F9"/>
    </sheetView>
  </sheetViews>
  <sheetFormatPr defaultColWidth="9" defaultRowHeight="13.5" customHeight="1"/>
  <cols>
    <col min="1" max="1" width="8.125" style="49" customWidth="1"/>
    <col min="2" max="2" width="13.375" style="53" customWidth="1"/>
    <col min="3" max="3" width="10.875" style="49" customWidth="1"/>
    <col min="4" max="4" width="11.375" style="50" customWidth="1"/>
    <col min="5" max="5" width="1.875" style="49" hidden="1" customWidth="1"/>
    <col min="6" max="11" width="2.875" style="49" bestFit="1" customWidth="1"/>
    <col min="12" max="19" width="2.875" style="49" customWidth="1"/>
    <col min="20" max="20" width="2.875" style="49" bestFit="1" customWidth="1"/>
    <col min="21" max="21" width="2.875" style="49" customWidth="1"/>
    <col min="22" max="16384" width="9" style="49"/>
  </cols>
  <sheetData>
    <row r="1" spans="1:22" ht="13.5" customHeight="1" thickBot="1">
      <c r="A1" s="47"/>
      <c r="B1" s="48"/>
    </row>
    <row r="2" spans="1:22" ht="13.5" customHeight="1">
      <c r="A2" s="294" t="s">
        <v>88</v>
      </c>
      <c r="B2" s="295"/>
      <c r="C2" s="296" t="e">
        <f>Functions!#REF!</f>
        <v>#REF!</v>
      </c>
      <c r="D2" s="297"/>
      <c r="E2" s="298"/>
      <c r="F2" s="299" t="s">
        <v>17</v>
      </c>
      <c r="G2" s="300"/>
      <c r="H2" s="300"/>
      <c r="I2" s="300"/>
      <c r="J2" s="300"/>
      <c r="K2" s="300"/>
      <c r="L2" s="266" t="e">
        <f>Functions!#REF!</f>
        <v>#REF!</v>
      </c>
      <c r="M2" s="267"/>
      <c r="N2" s="267"/>
      <c r="O2" s="267"/>
      <c r="P2" s="267"/>
      <c r="Q2" s="267"/>
      <c r="R2" s="267"/>
      <c r="S2" s="267"/>
      <c r="T2" s="268"/>
      <c r="V2" s="51"/>
    </row>
    <row r="3" spans="1:22" ht="13.5" customHeight="1">
      <c r="A3" s="287" t="s">
        <v>89</v>
      </c>
      <c r="B3" s="288"/>
      <c r="C3" s="282" t="s">
        <v>29</v>
      </c>
      <c r="D3" s="269"/>
      <c r="E3" s="283"/>
      <c r="F3" s="272" t="s">
        <v>90</v>
      </c>
      <c r="G3" s="273"/>
      <c r="H3" s="273"/>
      <c r="I3" s="273"/>
      <c r="J3" s="273"/>
      <c r="K3" s="274"/>
      <c r="L3" s="269"/>
      <c r="M3" s="269"/>
      <c r="N3" s="269"/>
      <c r="O3" s="145"/>
      <c r="P3" s="145"/>
      <c r="Q3" s="145"/>
      <c r="R3" s="145"/>
      <c r="S3" s="145"/>
      <c r="T3" s="146"/>
    </row>
    <row r="4" spans="1:22" ht="13.5" customHeight="1">
      <c r="A4" s="287" t="s">
        <v>91</v>
      </c>
      <c r="B4" s="288"/>
      <c r="C4" s="306">
        <v>100</v>
      </c>
      <c r="D4" s="307"/>
      <c r="E4" s="156"/>
      <c r="F4" s="272" t="s">
        <v>92</v>
      </c>
      <c r="G4" s="273"/>
      <c r="H4" s="273"/>
      <c r="I4" s="273"/>
      <c r="J4" s="273"/>
      <c r="K4" s="274"/>
      <c r="L4" s="275">
        <f xml:space="preserve"> IF(Functions!E6&lt;&gt;"N/A",SUM(C4*Functions!E6/1000,- O7),"N/A")</f>
        <v>-5</v>
      </c>
      <c r="M4" s="276"/>
      <c r="N4" s="276"/>
      <c r="O4" s="276"/>
      <c r="P4" s="276"/>
      <c r="Q4" s="276"/>
      <c r="R4" s="276"/>
      <c r="S4" s="276"/>
      <c r="T4" s="277"/>
      <c r="V4" s="51"/>
    </row>
    <row r="5" spans="1:22" ht="13.5" customHeight="1">
      <c r="A5" s="287" t="s">
        <v>93</v>
      </c>
      <c r="B5" s="288"/>
      <c r="C5" s="289" t="s">
        <v>87</v>
      </c>
      <c r="D5" s="289"/>
      <c r="E5" s="289"/>
      <c r="F5" s="290"/>
      <c r="G5" s="290"/>
      <c r="H5" s="290"/>
      <c r="I5" s="290"/>
      <c r="J5" s="290"/>
      <c r="K5" s="290"/>
      <c r="L5" s="289"/>
      <c r="M5" s="289"/>
      <c r="N5" s="289"/>
      <c r="O5" s="289"/>
      <c r="P5" s="289"/>
      <c r="Q5" s="289"/>
      <c r="R5" s="289"/>
      <c r="S5" s="289"/>
      <c r="T5" s="289"/>
    </row>
    <row r="6" spans="1:22" ht="13.5" customHeight="1">
      <c r="A6" s="285" t="s">
        <v>23</v>
      </c>
      <c r="B6" s="286"/>
      <c r="C6" s="270" t="s">
        <v>24</v>
      </c>
      <c r="D6" s="264"/>
      <c r="E6" s="271"/>
      <c r="F6" s="270" t="s">
        <v>25</v>
      </c>
      <c r="G6" s="264"/>
      <c r="H6" s="264"/>
      <c r="I6" s="264"/>
      <c r="J6" s="264"/>
      <c r="K6" s="278"/>
      <c r="L6" s="264" t="s">
        <v>94</v>
      </c>
      <c r="M6" s="264"/>
      <c r="N6" s="264"/>
      <c r="O6" s="263" t="s">
        <v>26</v>
      </c>
      <c r="P6" s="264"/>
      <c r="Q6" s="264"/>
      <c r="R6" s="264"/>
      <c r="S6" s="264"/>
      <c r="T6" s="265"/>
      <c r="V6" s="51"/>
    </row>
    <row r="7" spans="1:22" ht="13.5" customHeight="1" thickBot="1">
      <c r="A7" s="305">
        <f>COUNTIF(F47:HQ47,"P")</f>
        <v>0</v>
      </c>
      <c r="B7" s="304"/>
      <c r="C7" s="302">
        <f>COUNTIF(F47:HQ47,"F")</f>
        <v>0</v>
      </c>
      <c r="D7" s="292"/>
      <c r="E7" s="304"/>
      <c r="F7" s="302">
        <f>SUM(O7,- A7,- C7)</f>
        <v>15</v>
      </c>
      <c r="G7" s="292"/>
      <c r="H7" s="292"/>
      <c r="I7" s="292"/>
      <c r="J7" s="292"/>
      <c r="K7" s="303"/>
      <c r="L7" s="147">
        <f>COUNTIF(E46:HQ46,"N")</f>
        <v>0</v>
      </c>
      <c r="M7" s="147">
        <f>COUNTIF(E46:HQ46,"A")</f>
        <v>0</v>
      </c>
      <c r="N7" s="147">
        <f>COUNTIF(E46:HQ46,"B")</f>
        <v>0</v>
      </c>
      <c r="O7" s="291">
        <f>COUNTA(E9:HT9)</f>
        <v>15</v>
      </c>
      <c r="P7" s="292"/>
      <c r="Q7" s="292"/>
      <c r="R7" s="292"/>
      <c r="S7" s="292"/>
      <c r="T7" s="293"/>
      <c r="U7" s="52"/>
    </row>
    <row r="8" spans="1:22" ht="11.25" thickBot="1"/>
    <row r="9" spans="1:22" ht="45" customHeight="1" thickTop="1" thickBot="1">
      <c r="A9" s="191"/>
      <c r="B9" s="165"/>
      <c r="C9" s="166"/>
      <c r="D9" s="167"/>
      <c r="E9" s="166"/>
      <c r="F9" s="168" t="s">
        <v>30</v>
      </c>
      <c r="G9" s="168" t="s">
        <v>31</v>
      </c>
      <c r="H9" s="168" t="s">
        <v>31</v>
      </c>
      <c r="I9" s="168" t="s">
        <v>31</v>
      </c>
      <c r="J9" s="168" t="s">
        <v>31</v>
      </c>
      <c r="K9" s="168" t="s">
        <v>31</v>
      </c>
      <c r="L9" s="168" t="s">
        <v>36</v>
      </c>
      <c r="M9" s="168" t="s">
        <v>37</v>
      </c>
      <c r="N9" s="168" t="s">
        <v>38</v>
      </c>
      <c r="O9" s="168" t="s">
        <v>39</v>
      </c>
      <c r="P9" s="168" t="s">
        <v>40</v>
      </c>
      <c r="Q9" s="168" t="s">
        <v>41</v>
      </c>
      <c r="R9" s="168" t="s">
        <v>42</v>
      </c>
      <c r="S9" s="168" t="s">
        <v>43</v>
      </c>
      <c r="T9" s="169" t="s">
        <v>44</v>
      </c>
      <c r="U9" s="54"/>
      <c r="V9" s="51"/>
    </row>
    <row r="10" spans="1:22" ht="13.5" customHeight="1">
      <c r="A10" s="185" t="s">
        <v>95</v>
      </c>
      <c r="B10" s="55" t="s">
        <v>72</v>
      </c>
      <c r="C10" s="56"/>
      <c r="D10" s="57"/>
      <c r="E10" s="58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197"/>
    </row>
    <row r="11" spans="1:22" ht="13.5" customHeight="1">
      <c r="A11" s="171"/>
      <c r="B11" s="55"/>
      <c r="C11" s="56"/>
      <c r="D11" s="57"/>
      <c r="E11" s="60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197"/>
      <c r="V11" s="51"/>
    </row>
    <row r="12" spans="1:22" ht="13.5" customHeight="1">
      <c r="A12" s="171"/>
      <c r="B12" s="55"/>
      <c r="C12" s="56"/>
      <c r="D12" s="57"/>
      <c r="E12" s="60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197"/>
    </row>
    <row r="13" spans="1:22" ht="13.5" customHeight="1">
      <c r="A13" s="171"/>
      <c r="B13" s="55"/>
      <c r="C13" s="56"/>
      <c r="D13" s="57"/>
      <c r="E13" s="61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197"/>
    </row>
    <row r="14" spans="1:22" ht="13.5" customHeight="1">
      <c r="A14" s="171"/>
      <c r="B14" s="55" t="s">
        <v>120</v>
      </c>
      <c r="C14" s="56"/>
      <c r="D14" s="57"/>
      <c r="E14" s="62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197"/>
    </row>
    <row r="15" spans="1:22" ht="13.5" customHeight="1">
      <c r="A15" s="171"/>
      <c r="B15" s="55"/>
      <c r="C15" s="56"/>
      <c r="D15" s="57">
        <v>-2</v>
      </c>
      <c r="E15" s="62"/>
      <c r="F15" s="59" t="s">
        <v>126</v>
      </c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197"/>
    </row>
    <row r="16" spans="1:22" ht="13.5" customHeight="1">
      <c r="A16" s="171"/>
      <c r="B16" s="55"/>
      <c r="C16" s="56"/>
      <c r="D16" s="57">
        <v>-1</v>
      </c>
      <c r="E16" s="62"/>
      <c r="F16" s="59"/>
      <c r="G16" s="59"/>
      <c r="H16" s="59"/>
      <c r="I16" s="59"/>
      <c r="J16" s="59"/>
      <c r="K16" s="59"/>
      <c r="L16" s="59" t="s">
        <v>126</v>
      </c>
      <c r="M16" s="59"/>
      <c r="N16" s="59"/>
      <c r="O16" s="59"/>
      <c r="P16" s="59"/>
      <c r="Q16" s="59"/>
      <c r="R16" s="59"/>
      <c r="S16" s="59"/>
      <c r="T16" s="197"/>
    </row>
    <row r="17" spans="1:21" ht="13.5" customHeight="1">
      <c r="A17" s="171"/>
      <c r="B17" s="55"/>
      <c r="C17" s="56"/>
      <c r="D17" s="57">
        <v>0</v>
      </c>
      <c r="E17" s="62"/>
      <c r="F17" s="59"/>
      <c r="G17" s="59" t="s">
        <v>126</v>
      </c>
      <c r="H17" s="59" t="s">
        <v>126</v>
      </c>
      <c r="I17" s="59" t="s">
        <v>126</v>
      </c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197"/>
      <c r="U17" s="63"/>
    </row>
    <row r="18" spans="1:21" ht="13.5" customHeight="1">
      <c r="A18" s="171"/>
      <c r="B18" s="55"/>
      <c r="C18" s="56"/>
      <c r="D18" s="57">
        <v>1</v>
      </c>
      <c r="E18" s="62"/>
      <c r="F18" s="59"/>
      <c r="G18" s="59"/>
      <c r="H18" s="59"/>
      <c r="I18" s="59"/>
      <c r="J18" s="59" t="s">
        <v>126</v>
      </c>
      <c r="K18" s="59" t="s">
        <v>126</v>
      </c>
      <c r="L18" s="59"/>
      <c r="M18" s="59"/>
      <c r="N18" s="59"/>
      <c r="O18" s="59"/>
      <c r="P18" s="59"/>
      <c r="Q18" s="59"/>
      <c r="R18" s="59"/>
      <c r="S18" s="59"/>
      <c r="T18" s="197"/>
      <c r="U18" s="63"/>
    </row>
    <row r="19" spans="1:21" ht="13.5" customHeight="1">
      <c r="A19" s="171"/>
      <c r="B19" s="55" t="s">
        <v>121</v>
      </c>
      <c r="C19" s="56"/>
      <c r="D19" s="57"/>
      <c r="E19" s="62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197"/>
      <c r="U19" s="63"/>
    </row>
    <row r="20" spans="1:21" ht="13.5" customHeight="1">
      <c r="A20" s="171"/>
      <c r="B20" s="55"/>
      <c r="C20" s="56"/>
      <c r="D20" s="284">
        <v>0</v>
      </c>
      <c r="E20" s="284"/>
      <c r="F20" s="59"/>
      <c r="G20" s="59" t="s">
        <v>126</v>
      </c>
      <c r="H20" s="59" t="s">
        <v>126</v>
      </c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197"/>
    </row>
    <row r="21" spans="1:21" ht="13.5" customHeight="1">
      <c r="A21" s="171"/>
      <c r="B21" s="55"/>
      <c r="C21" s="56"/>
      <c r="D21" s="57">
        <v>-2</v>
      </c>
      <c r="E21" s="62"/>
      <c r="F21" s="59"/>
      <c r="G21" s="59"/>
      <c r="H21" s="59"/>
      <c r="I21" s="59"/>
      <c r="J21" s="59" t="s">
        <v>126</v>
      </c>
      <c r="K21" s="59" t="s">
        <v>126</v>
      </c>
      <c r="L21" s="59" t="s">
        <v>126</v>
      </c>
      <c r="M21" s="59"/>
      <c r="N21" s="59"/>
      <c r="O21" s="59"/>
      <c r="P21" s="59"/>
      <c r="Q21" s="59"/>
      <c r="R21" s="59"/>
      <c r="S21" s="59"/>
      <c r="T21" s="197"/>
    </row>
    <row r="22" spans="1:21" ht="13.5" customHeight="1">
      <c r="A22" s="171"/>
      <c r="B22" s="55"/>
      <c r="C22" s="56"/>
      <c r="D22" s="57">
        <v>2</v>
      </c>
      <c r="E22" s="62"/>
      <c r="F22" s="59"/>
      <c r="G22" s="59"/>
      <c r="H22" s="59"/>
      <c r="I22" s="59" t="s">
        <v>126</v>
      </c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197"/>
    </row>
    <row r="23" spans="1:21" ht="13.5" customHeight="1">
      <c r="A23" s="171"/>
      <c r="B23" s="55" t="s">
        <v>122</v>
      </c>
      <c r="C23" s="56"/>
      <c r="D23" s="57"/>
      <c r="E23" s="62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197"/>
    </row>
    <row r="24" spans="1:21" ht="13.5" customHeight="1">
      <c r="A24" s="171"/>
      <c r="B24" s="55"/>
      <c r="C24" s="56"/>
      <c r="D24" s="57">
        <v>0</v>
      </c>
      <c r="E24" s="62"/>
      <c r="F24" s="59"/>
      <c r="G24" s="59" t="s">
        <v>126</v>
      </c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197"/>
    </row>
    <row r="25" spans="1:21" ht="13.5" customHeight="1">
      <c r="A25" s="171"/>
      <c r="B25" s="55"/>
      <c r="C25" s="56"/>
      <c r="D25" s="57">
        <v>1</v>
      </c>
      <c r="E25" s="62"/>
      <c r="F25" s="59"/>
      <c r="G25" s="59"/>
      <c r="H25" s="59" t="s">
        <v>126</v>
      </c>
      <c r="I25" s="59" t="s">
        <v>126</v>
      </c>
      <c r="J25" s="59" t="s">
        <v>126</v>
      </c>
      <c r="K25" s="59"/>
      <c r="L25" s="59"/>
      <c r="M25" s="59"/>
      <c r="N25" s="59"/>
      <c r="O25" s="59"/>
      <c r="P25" s="59"/>
      <c r="Q25" s="59"/>
      <c r="R25" s="59"/>
      <c r="S25" s="59"/>
      <c r="T25" s="197"/>
    </row>
    <row r="26" spans="1:21" ht="13.5" customHeight="1">
      <c r="A26" s="171"/>
      <c r="B26" s="55"/>
      <c r="C26" s="56"/>
      <c r="D26" s="57">
        <v>3</v>
      </c>
      <c r="E26" s="62"/>
      <c r="F26" s="59"/>
      <c r="G26" s="59"/>
      <c r="H26" s="59"/>
      <c r="I26" s="59"/>
      <c r="J26" s="59"/>
      <c r="K26" s="59"/>
      <c r="L26" s="59" t="s">
        <v>126</v>
      </c>
      <c r="M26" s="59"/>
      <c r="N26" s="59"/>
      <c r="O26" s="59"/>
      <c r="P26" s="59"/>
      <c r="Q26" s="59"/>
      <c r="R26" s="59"/>
      <c r="S26" s="59"/>
      <c r="T26" s="197"/>
    </row>
    <row r="27" spans="1:21" ht="13.5" customHeight="1">
      <c r="A27" s="171"/>
      <c r="B27" s="55"/>
      <c r="C27" s="56"/>
      <c r="D27" s="57">
        <v>5</v>
      </c>
      <c r="E27" s="62"/>
      <c r="F27" s="59"/>
      <c r="G27" s="59"/>
      <c r="H27" s="59"/>
      <c r="I27" s="59"/>
      <c r="J27" s="59"/>
      <c r="K27" s="59" t="s">
        <v>126</v>
      </c>
      <c r="L27" s="59"/>
      <c r="M27" s="59"/>
      <c r="N27" s="59"/>
      <c r="O27" s="59"/>
      <c r="P27" s="59"/>
      <c r="Q27" s="59"/>
      <c r="R27" s="59"/>
      <c r="S27" s="59"/>
      <c r="T27" s="197"/>
    </row>
    <row r="28" spans="1:21" ht="13.5" customHeight="1">
      <c r="A28" s="171"/>
      <c r="B28" s="55"/>
      <c r="C28" s="56"/>
      <c r="D28" s="57"/>
      <c r="E28" s="62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197"/>
    </row>
    <row r="29" spans="1:21" ht="13.5" customHeight="1">
      <c r="A29" s="171"/>
      <c r="B29" s="55"/>
      <c r="C29" s="56"/>
      <c r="D29" s="57"/>
      <c r="E29" s="62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197"/>
    </row>
    <row r="30" spans="1:21" ht="13.5" customHeight="1">
      <c r="A30" s="171"/>
      <c r="B30" s="55"/>
      <c r="C30" s="56"/>
      <c r="D30" s="57"/>
      <c r="E30" s="62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197"/>
    </row>
    <row r="31" spans="1:21" ht="13.5" customHeight="1">
      <c r="A31" s="171"/>
      <c r="B31" s="55"/>
      <c r="C31" s="56"/>
      <c r="D31" s="57"/>
      <c r="E31" s="62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197"/>
    </row>
    <row r="32" spans="1:21" ht="13.5" customHeight="1" thickBot="1">
      <c r="A32" s="171"/>
      <c r="B32" s="64"/>
      <c r="C32" s="65"/>
      <c r="D32" s="66"/>
      <c r="E32" s="67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198"/>
    </row>
    <row r="33" spans="1:20" ht="13.5" customHeight="1" thickTop="1">
      <c r="A33" s="184" t="s">
        <v>99</v>
      </c>
      <c r="B33" s="69" t="s">
        <v>73</v>
      </c>
      <c r="C33" s="70"/>
      <c r="D33" s="71"/>
      <c r="E33" s="72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199"/>
    </row>
    <row r="34" spans="1:20" ht="13.5" customHeight="1">
      <c r="A34" s="183"/>
      <c r="B34" s="119" t="s">
        <v>123</v>
      </c>
      <c r="C34" s="75"/>
      <c r="D34" s="76"/>
      <c r="E34" s="77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197"/>
    </row>
    <row r="35" spans="1:20" ht="13.5" customHeight="1">
      <c r="A35" s="183"/>
      <c r="B35" s="119"/>
      <c r="C35" s="75"/>
      <c r="D35" s="76" t="s">
        <v>124</v>
      </c>
      <c r="E35" s="77"/>
      <c r="F35" s="59" t="s">
        <v>126</v>
      </c>
      <c r="G35" s="59"/>
      <c r="H35" s="59" t="s">
        <v>126</v>
      </c>
      <c r="I35" s="59"/>
      <c r="J35" s="59"/>
      <c r="K35" s="59" t="s">
        <v>126</v>
      </c>
      <c r="L35" s="59"/>
      <c r="M35" s="59"/>
      <c r="N35" s="59"/>
      <c r="O35" s="59"/>
      <c r="P35" s="59"/>
      <c r="Q35" s="59"/>
      <c r="R35" s="59"/>
      <c r="S35" s="59"/>
      <c r="T35" s="197"/>
    </row>
    <row r="36" spans="1:20" ht="13.5" customHeight="1">
      <c r="A36" s="183"/>
      <c r="B36" s="119"/>
      <c r="C36" s="75"/>
      <c r="D36" s="76" t="s">
        <v>125</v>
      </c>
      <c r="E36" s="77"/>
      <c r="F36" s="59"/>
      <c r="G36" s="59" t="s">
        <v>126</v>
      </c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197"/>
    </row>
    <row r="37" spans="1:20" ht="13.5" customHeight="1">
      <c r="A37" s="183"/>
      <c r="B37" s="119"/>
      <c r="C37" s="75"/>
      <c r="D37" s="76" t="s">
        <v>128</v>
      </c>
      <c r="E37" s="77"/>
      <c r="F37" s="59"/>
      <c r="G37" s="59"/>
      <c r="H37" s="59"/>
      <c r="I37" s="59" t="s">
        <v>126</v>
      </c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197"/>
    </row>
    <row r="38" spans="1:20" ht="13.5" customHeight="1">
      <c r="A38" s="183"/>
      <c r="B38" s="119"/>
      <c r="C38" s="75"/>
      <c r="D38" s="76" t="s">
        <v>129</v>
      </c>
      <c r="E38" s="77"/>
      <c r="F38" s="59"/>
      <c r="G38" s="59"/>
      <c r="H38" s="59"/>
      <c r="I38" s="59"/>
      <c r="J38" s="59" t="s">
        <v>126</v>
      </c>
      <c r="K38" s="59"/>
      <c r="L38" s="59"/>
      <c r="M38" s="59"/>
      <c r="N38" s="59"/>
      <c r="O38" s="59"/>
      <c r="P38" s="59"/>
      <c r="Q38" s="59"/>
      <c r="R38" s="59"/>
      <c r="S38" s="59"/>
      <c r="T38" s="197"/>
    </row>
    <row r="39" spans="1:20" ht="13.5" customHeight="1">
      <c r="A39" s="183"/>
      <c r="B39" s="74"/>
      <c r="C39" s="78"/>
      <c r="D39" s="76" t="s">
        <v>130</v>
      </c>
      <c r="E39" s="79"/>
      <c r="F39" s="59"/>
      <c r="G39" s="59"/>
      <c r="H39" s="59"/>
      <c r="I39" s="59"/>
      <c r="J39" s="59"/>
      <c r="K39" s="59"/>
      <c r="L39" s="59" t="s">
        <v>126</v>
      </c>
      <c r="M39" s="59"/>
      <c r="N39" s="59"/>
      <c r="O39" s="59"/>
      <c r="P39" s="59"/>
      <c r="Q39" s="59"/>
      <c r="R39" s="59"/>
      <c r="S39" s="59"/>
      <c r="T39" s="197"/>
    </row>
    <row r="40" spans="1:20" ht="13.5" customHeight="1">
      <c r="A40" s="183"/>
      <c r="B40" s="74" t="s">
        <v>74</v>
      </c>
      <c r="C40" s="78"/>
      <c r="D40" s="76"/>
      <c r="E40" s="7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197"/>
    </row>
    <row r="41" spans="1:20" ht="13.5" customHeight="1">
      <c r="A41" s="183"/>
      <c r="B41" s="74"/>
      <c r="C41" s="78"/>
      <c r="D41" s="76"/>
      <c r="E41" s="7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197"/>
    </row>
    <row r="42" spans="1:20" ht="13.5" customHeight="1">
      <c r="A42" s="183"/>
      <c r="B42" s="74" t="s">
        <v>75</v>
      </c>
      <c r="C42" s="78"/>
      <c r="D42" s="76"/>
      <c r="E42" s="7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197"/>
    </row>
    <row r="43" spans="1:20" ht="13.5" customHeight="1">
      <c r="A43" s="183"/>
      <c r="B43" s="74"/>
      <c r="C43" s="78"/>
      <c r="D43" s="76" t="s">
        <v>127</v>
      </c>
      <c r="E43" s="79"/>
      <c r="F43" s="59" t="s">
        <v>126</v>
      </c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197"/>
    </row>
    <row r="44" spans="1:20" ht="13.5" customHeight="1" thickBot="1">
      <c r="A44" s="183"/>
      <c r="B44" s="157"/>
      <c r="C44" s="158"/>
      <c r="D44" s="159"/>
      <c r="E44" s="160"/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200"/>
    </row>
    <row r="45" spans="1:20" ht="13.5" customHeight="1" thickTop="1">
      <c r="A45" s="184" t="s">
        <v>52</v>
      </c>
      <c r="B45" s="281" t="s">
        <v>53</v>
      </c>
      <c r="C45" s="281"/>
      <c r="D45" s="281"/>
      <c r="E45" s="162"/>
      <c r="F45" s="190" t="s">
        <v>56</v>
      </c>
      <c r="G45" s="190" t="s">
        <v>54</v>
      </c>
      <c r="H45" s="190" t="s">
        <v>54</v>
      </c>
      <c r="I45" s="190" t="s">
        <v>54</v>
      </c>
      <c r="J45" s="190" t="s">
        <v>54</v>
      </c>
      <c r="K45" s="190" t="s">
        <v>54</v>
      </c>
      <c r="L45" s="190" t="s">
        <v>55</v>
      </c>
      <c r="M45" s="190"/>
      <c r="N45" s="190"/>
      <c r="O45" s="190"/>
      <c r="P45" s="190"/>
      <c r="Q45" s="190"/>
      <c r="R45" s="190"/>
      <c r="S45" s="190"/>
      <c r="T45" s="201"/>
    </row>
    <row r="46" spans="1:20" ht="13.5" customHeight="1">
      <c r="A46" s="176"/>
      <c r="B46" s="301" t="s">
        <v>57</v>
      </c>
      <c r="C46" s="301"/>
      <c r="D46" s="301"/>
      <c r="E46" s="81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202"/>
    </row>
    <row r="47" spans="1:20" ht="13.5" customHeight="1">
      <c r="A47" s="176"/>
      <c r="B47" s="279" t="s">
        <v>60</v>
      </c>
      <c r="C47" s="279"/>
      <c r="D47" s="279"/>
      <c r="E47" s="82"/>
      <c r="F47" s="83">
        <v>39139</v>
      </c>
      <c r="G47" s="83">
        <v>39139</v>
      </c>
      <c r="H47" s="83">
        <v>39139</v>
      </c>
      <c r="I47" s="83">
        <v>39139</v>
      </c>
      <c r="J47" s="83">
        <v>39139</v>
      </c>
      <c r="K47" s="83">
        <v>39139</v>
      </c>
      <c r="L47" s="83">
        <v>39144</v>
      </c>
      <c r="M47" s="83"/>
      <c r="N47" s="83"/>
      <c r="O47" s="83"/>
      <c r="P47" s="83"/>
      <c r="Q47" s="83"/>
      <c r="R47" s="83"/>
      <c r="S47" s="83"/>
      <c r="T47" s="178"/>
    </row>
    <row r="48" spans="1:20" ht="11.25" thickBot="1">
      <c r="A48" s="179"/>
      <c r="B48" s="280" t="s">
        <v>61</v>
      </c>
      <c r="C48" s="280"/>
      <c r="D48" s="280"/>
      <c r="E48" s="180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2"/>
    </row>
    <row r="49" spans="1:4" ht="11.25" thickTop="1">
      <c r="A49" s="53"/>
      <c r="B49" s="49"/>
      <c r="C49" s="50"/>
      <c r="D49" s="49"/>
    </row>
  </sheetData>
  <mergeCells count="28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48:D48"/>
    <mergeCell ref="D20:E20"/>
    <mergeCell ref="B45:D45"/>
    <mergeCell ref="B46:D46"/>
    <mergeCell ref="B47:D47"/>
  </mergeCells>
  <phoneticPr fontId="40"/>
  <dataValidations count="3">
    <dataValidation type="list" allowBlank="1" showInputMessage="1" showErrorMessage="1" sqref="F46:T46" xr:uid="{00000000-0002-0000-0700-000000000000}">
      <formula1>"P,F, "</formula1>
    </dataValidation>
    <dataValidation type="list" allowBlank="1" showInputMessage="1" showErrorMessage="1" sqref="F45:T45" xr:uid="{00000000-0002-0000-0700-000001000000}">
      <formula1>"N,A,B, "</formula1>
    </dataValidation>
    <dataValidation type="list" allowBlank="1" showInputMessage="1" showErrorMessage="1" sqref="F10:T44" xr:uid="{00000000-0002-0000-0700-000002000000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Guideline</vt:lpstr>
      <vt:lpstr>Cover</vt:lpstr>
      <vt:lpstr>Functions</vt:lpstr>
      <vt:lpstr>Statistics</vt:lpstr>
      <vt:lpstr>Function 1</vt:lpstr>
      <vt:lpstr>Function 2</vt:lpstr>
      <vt:lpstr>Function3</vt:lpstr>
      <vt:lpstr>Example</vt:lpstr>
      <vt:lpstr>'Function 1'!Print_Area</vt:lpstr>
      <vt:lpstr>'Function 2'!Print_Area</vt:lpstr>
      <vt:lpstr>Function3!Print_Area</vt:lpstr>
      <vt:lpstr>Functions!Print_Area</vt:lpstr>
      <vt:lpstr>Guideline!Print_Area</vt:lpstr>
      <vt:lpstr>Statistics!Print_Area</vt:lpstr>
    </vt:vector>
  </TitlesOfParts>
  <Company>FPT-Software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Hoang Anh</dc:creator>
  <cp:lastModifiedBy>Nguyễn Tuấn</cp:lastModifiedBy>
  <cp:lastPrinted>2026-05-26T09:32:21Z</cp:lastPrinted>
  <dcterms:created xsi:type="dcterms:W3CDTF">2007-10-09T09:39:48Z</dcterms:created>
  <dcterms:modified xsi:type="dcterms:W3CDTF">2026-05-26T09:52:41Z</dcterms:modified>
</cp:coreProperties>
</file>